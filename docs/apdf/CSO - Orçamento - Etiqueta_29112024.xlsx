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bam-my.sharepoint.com/personal/frank_ikuno_conecthus_org_br/Documents/DENSO/Aplicacao_Automat_Etiquetas/"/>
    </mc:Choice>
  </mc:AlternateContent>
  <xr:revisionPtr revIDLastSave="498" documentId="8_{4FEA8B9E-B4B6-43F9-8C86-FA211315D940}" xr6:coauthVersionLast="47" xr6:coauthVersionMax="47" xr10:uidLastSave="{362F1197-2380-4CBD-BE11-95D5186E4992}"/>
  <bookViews>
    <workbookView xWindow="-120" yWindow="-120" windowWidth="29040" windowHeight="15720" tabRatio="731" xr2:uid="{326E3AF3-8A48-4BB5-A23D-11220CCC915F}"/>
  </bookViews>
  <sheets>
    <sheet name="Resumo" sheetId="1" r:id="rId1"/>
    <sheet name="Configuração" sheetId="2" r:id="rId2"/>
    <sheet name="DBFolha" sheetId="6" r:id="rId3"/>
    <sheet name="Equipe" sheetId="3" r:id="rId4"/>
    <sheet name="Rubrica" sheetId="4" r:id="rId5"/>
    <sheet name="RHI" sheetId="7" r:id="rId6"/>
    <sheet name="Rateio" sheetId="5" r:id="rId7"/>
    <sheet name="Cronograma  " sheetId="10" r:id="rId8"/>
    <sheet name="SERVICO" sheetId="12" r:id="rId9"/>
    <sheet name="Etiqueta" sheetId="13" r:id="rId10"/>
  </sheets>
  <definedNames>
    <definedName name="_xlnm.Print_Area" localSheetId="8">SERVICO!$A$1:$M$33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39" i="3"/>
  <c r="J195" i="3"/>
  <c r="K195" i="3" s="1"/>
  <c r="J183" i="3"/>
  <c r="K183" i="3" s="1"/>
  <c r="J171" i="3"/>
  <c r="K171" i="3" s="1"/>
  <c r="J156" i="3"/>
  <c r="K156" i="3" s="1"/>
  <c r="J141" i="3"/>
  <c r="K141" i="3" s="1"/>
  <c r="J126" i="3"/>
  <c r="K126" i="3" s="1"/>
  <c r="J111" i="3"/>
  <c r="K111" i="3" s="1"/>
  <c r="J96" i="3"/>
  <c r="K96" i="3" s="1"/>
  <c r="J81" i="3"/>
  <c r="K81" i="3" s="1"/>
  <c r="J69" i="3"/>
  <c r="K69" i="3" s="1"/>
  <c r="J54" i="3"/>
  <c r="K54" i="3" s="1"/>
  <c r="J39" i="3"/>
  <c r="K39" i="3" s="1"/>
  <c r="J24" i="3"/>
  <c r="K24" i="3" s="1"/>
  <c r="J9" i="3"/>
  <c r="F1563" i="3"/>
  <c r="J1547" i="3" l="1"/>
  <c r="K9" i="3"/>
  <c r="K1547" i="3" s="1"/>
  <c r="I12" i="13" l="1"/>
  <c r="I14" i="13" s="1"/>
  <c r="I9" i="13"/>
  <c r="I10" i="13"/>
  <c r="I11" i="13"/>
  <c r="I8" i="13"/>
  <c r="K14" i="13"/>
  <c r="J10" i="13"/>
  <c r="J11" i="13"/>
  <c r="J9" i="13"/>
  <c r="H14" i="13"/>
  <c r="P35" i="12"/>
  <c r="G161" i="3" l="1"/>
  <c r="G162" i="3"/>
  <c r="G163" i="3"/>
  <c r="E161" i="3"/>
  <c r="E162" i="3"/>
  <c r="E163" i="3"/>
  <c r="B161" i="3"/>
  <c r="B162" i="3"/>
  <c r="B163" i="3"/>
  <c r="G146" i="3"/>
  <c r="G147" i="3"/>
  <c r="G148" i="3"/>
  <c r="E146" i="3"/>
  <c r="E147" i="3"/>
  <c r="E148" i="3"/>
  <c r="B146" i="3"/>
  <c r="B147" i="3"/>
  <c r="B148" i="3"/>
  <c r="G131" i="3"/>
  <c r="G132" i="3"/>
  <c r="G133" i="3"/>
  <c r="E131" i="3"/>
  <c r="E132" i="3"/>
  <c r="E133" i="3"/>
  <c r="B131" i="3"/>
  <c r="B132" i="3"/>
  <c r="B133" i="3"/>
  <c r="G116" i="3"/>
  <c r="G117" i="3"/>
  <c r="G118" i="3"/>
  <c r="E116" i="3"/>
  <c r="E117" i="3"/>
  <c r="E118" i="3"/>
  <c r="B116" i="3"/>
  <c r="B117" i="3"/>
  <c r="B118" i="3"/>
  <c r="G101" i="3"/>
  <c r="G102" i="3"/>
  <c r="G103" i="3"/>
  <c r="E101" i="3"/>
  <c r="E102" i="3"/>
  <c r="E103" i="3"/>
  <c r="B101" i="3"/>
  <c r="B102" i="3"/>
  <c r="B103" i="3"/>
  <c r="G86" i="3"/>
  <c r="G87" i="3"/>
  <c r="G88" i="3"/>
  <c r="E86" i="3"/>
  <c r="E87" i="3"/>
  <c r="E88" i="3"/>
  <c r="B86" i="3"/>
  <c r="B87" i="3"/>
  <c r="B88" i="3"/>
  <c r="G59" i="3"/>
  <c r="G60" i="3"/>
  <c r="G61" i="3"/>
  <c r="E59" i="3"/>
  <c r="E60" i="3"/>
  <c r="E61" i="3"/>
  <c r="B59" i="3"/>
  <c r="B60" i="3"/>
  <c r="B61" i="3"/>
  <c r="G44" i="3"/>
  <c r="G45" i="3"/>
  <c r="G46" i="3"/>
  <c r="E44" i="3"/>
  <c r="E45" i="3"/>
  <c r="E46" i="3"/>
  <c r="B44" i="3"/>
  <c r="B45" i="3"/>
  <c r="B46" i="3"/>
  <c r="G29" i="3"/>
  <c r="G30" i="3"/>
  <c r="G31" i="3"/>
  <c r="E29" i="3"/>
  <c r="E30" i="3"/>
  <c r="E31" i="3"/>
  <c r="B29" i="3"/>
  <c r="B30" i="3"/>
  <c r="B31" i="3"/>
  <c r="G14" i="3"/>
  <c r="Q6" i="1" s="1"/>
  <c r="G15" i="3"/>
  <c r="R6" i="1" s="1"/>
  <c r="G16" i="3"/>
  <c r="S6" i="1" s="1"/>
  <c r="E14" i="3"/>
  <c r="E15" i="3"/>
  <c r="E16" i="3"/>
  <c r="B14" i="3"/>
  <c r="B15" i="3"/>
  <c r="B16" i="3"/>
  <c r="P29" i="12" l="1"/>
  <c r="AE9" i="1"/>
  <c r="AE5" i="1"/>
  <c r="AE4" i="1"/>
  <c r="B176" i="3" l="1"/>
  <c r="B177" i="3"/>
  <c r="B178" i="3"/>
  <c r="B179" i="3"/>
  <c r="B180" i="3"/>
  <c r="B181" i="3"/>
  <c r="B182" i="3"/>
  <c r="B183" i="3"/>
  <c r="B184" i="3"/>
  <c r="B185" i="3"/>
  <c r="B186" i="3"/>
  <c r="B187" i="3"/>
  <c r="D17" i="13"/>
  <c r="D16" i="13"/>
  <c r="D12" i="13"/>
  <c r="D10" i="13"/>
  <c r="D9" i="13"/>
  <c r="D8" i="13"/>
  <c r="D7" i="13"/>
  <c r="D6" i="13"/>
  <c r="D5" i="13"/>
  <c r="E11" i="13" l="1"/>
  <c r="D11" i="13"/>
  <c r="D18" i="13" l="1"/>
  <c r="D19" i="13" s="1"/>
  <c r="D20" i="13" s="1"/>
  <c r="H15" i="13"/>
  <c r="E186" i="3"/>
  <c r="E185" i="3"/>
  <c r="E184" i="3"/>
  <c r="E183" i="3"/>
  <c r="E182" i="3"/>
  <c r="E181" i="3"/>
  <c r="B73" i="3"/>
  <c r="B72" i="3"/>
  <c r="B71" i="3"/>
  <c r="B70" i="3"/>
  <c r="B69" i="3"/>
  <c r="B68" i="3"/>
  <c r="B67" i="3"/>
  <c r="B66" i="3"/>
  <c r="B65" i="3"/>
  <c r="B64" i="3"/>
  <c r="B63" i="3"/>
  <c r="B150" i="3"/>
  <c r="E150" i="3"/>
  <c r="G150" i="3"/>
  <c r="B151" i="3"/>
  <c r="E151" i="3"/>
  <c r="G151" i="3"/>
  <c r="B152" i="3"/>
  <c r="E152" i="3"/>
  <c r="G152" i="3"/>
  <c r="B149" i="3"/>
  <c r="E149" i="3"/>
  <c r="G149" i="3"/>
  <c r="B153" i="3"/>
  <c r="E153" i="3"/>
  <c r="G153" i="3"/>
  <c r="B154" i="3"/>
  <c r="E154" i="3"/>
  <c r="G154" i="3"/>
  <c r="B155" i="3"/>
  <c r="E155" i="3"/>
  <c r="G155" i="3"/>
  <c r="B156" i="3"/>
  <c r="E156" i="3"/>
  <c r="G156" i="3"/>
  <c r="B157" i="3"/>
  <c r="E157" i="3"/>
  <c r="G157" i="3"/>
  <c r="B158" i="3"/>
  <c r="E158" i="3"/>
  <c r="G158" i="3"/>
  <c r="B159" i="3"/>
  <c r="E159" i="3"/>
  <c r="G159" i="3"/>
  <c r="B160" i="3"/>
  <c r="E160" i="3"/>
  <c r="G160" i="3"/>
  <c r="E175" i="3"/>
  <c r="E174" i="3"/>
  <c r="E173" i="3"/>
  <c r="E172" i="3"/>
  <c r="E171" i="3"/>
  <c r="E170" i="3"/>
  <c r="B175" i="3"/>
  <c r="B174" i="3"/>
  <c r="B173" i="3"/>
  <c r="B172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B134" i="3"/>
  <c r="G134" i="3"/>
  <c r="B135" i="3"/>
  <c r="G135" i="3"/>
  <c r="B136" i="3"/>
  <c r="G136" i="3"/>
  <c r="B137" i="3"/>
  <c r="G137" i="3"/>
  <c r="B138" i="3"/>
  <c r="G138" i="3"/>
  <c r="B139" i="3"/>
  <c r="G139" i="3"/>
  <c r="B140" i="3"/>
  <c r="G140" i="3"/>
  <c r="B141" i="3"/>
  <c r="G141" i="3"/>
  <c r="B142" i="3"/>
  <c r="G142" i="3"/>
  <c r="B143" i="3"/>
  <c r="G143" i="3"/>
  <c r="B144" i="3"/>
  <c r="G144" i="3"/>
  <c r="B145" i="3"/>
  <c r="G145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B119" i="3"/>
  <c r="G119" i="3"/>
  <c r="B120" i="3"/>
  <c r="G120" i="3"/>
  <c r="B121" i="3"/>
  <c r="G121" i="3"/>
  <c r="B122" i="3"/>
  <c r="G122" i="3"/>
  <c r="B123" i="3"/>
  <c r="G123" i="3"/>
  <c r="B124" i="3"/>
  <c r="G124" i="3"/>
  <c r="B125" i="3"/>
  <c r="G125" i="3"/>
  <c r="B126" i="3"/>
  <c r="G126" i="3"/>
  <c r="B127" i="3"/>
  <c r="G127" i="3"/>
  <c r="B128" i="3"/>
  <c r="G128" i="3"/>
  <c r="B129" i="3"/>
  <c r="G129" i="3"/>
  <c r="B130" i="3"/>
  <c r="G130" i="3"/>
  <c r="E115" i="3"/>
  <c r="E114" i="3"/>
  <c r="B115" i="3"/>
  <c r="B114" i="3"/>
  <c r="B113" i="3"/>
  <c r="B112" i="3"/>
  <c r="B111" i="3"/>
  <c r="B110" i="3"/>
  <c r="B104" i="3"/>
  <c r="E104" i="3"/>
  <c r="G104" i="3"/>
  <c r="B105" i="3"/>
  <c r="E105" i="3"/>
  <c r="G105" i="3"/>
  <c r="B106" i="3"/>
  <c r="E106" i="3"/>
  <c r="G106" i="3"/>
  <c r="B107" i="3"/>
  <c r="E107" i="3"/>
  <c r="G107" i="3"/>
  <c r="B108" i="3"/>
  <c r="E108" i="3"/>
  <c r="G108" i="3"/>
  <c r="B109" i="3"/>
  <c r="E109" i="3"/>
  <c r="G109" i="3"/>
  <c r="E100" i="3"/>
  <c r="E99" i="3"/>
  <c r="E98" i="3"/>
  <c r="E97" i="3"/>
  <c r="E96" i="3"/>
  <c r="E95" i="3"/>
  <c r="E94" i="3"/>
  <c r="E93" i="3"/>
  <c r="E92" i="3"/>
  <c r="E91" i="3"/>
  <c r="E90" i="3"/>
  <c r="E89" i="3"/>
  <c r="B100" i="3"/>
  <c r="B99" i="3"/>
  <c r="E85" i="3"/>
  <c r="E84" i="3"/>
  <c r="E83" i="3"/>
  <c r="E82" i="3"/>
  <c r="E81" i="3"/>
  <c r="E80" i="3"/>
  <c r="E58" i="3"/>
  <c r="E57" i="3"/>
  <c r="E56" i="3"/>
  <c r="E55" i="3"/>
  <c r="E54" i="3"/>
  <c r="E53" i="3"/>
  <c r="E52" i="3"/>
  <c r="E51" i="3"/>
  <c r="E50" i="3"/>
  <c r="E49" i="3"/>
  <c r="E48" i="3"/>
  <c r="E47" i="3"/>
  <c r="B47" i="3"/>
  <c r="G47" i="3"/>
  <c r="B48" i="3"/>
  <c r="G48" i="3"/>
  <c r="B49" i="3"/>
  <c r="G49" i="3"/>
  <c r="B50" i="3"/>
  <c r="G50" i="3"/>
  <c r="B51" i="3"/>
  <c r="G51" i="3"/>
  <c r="B52" i="3"/>
  <c r="G52" i="3"/>
  <c r="B53" i="3"/>
  <c r="G53" i="3"/>
  <c r="B54" i="3"/>
  <c r="G54" i="3"/>
  <c r="B55" i="3"/>
  <c r="G55" i="3"/>
  <c r="B56" i="3"/>
  <c r="G56" i="3"/>
  <c r="B38" i="3"/>
  <c r="E38" i="3"/>
  <c r="G38" i="3"/>
  <c r="B39" i="3"/>
  <c r="G39" i="3"/>
  <c r="B40" i="3"/>
  <c r="E40" i="3"/>
  <c r="G40" i="3"/>
  <c r="B41" i="3"/>
  <c r="E41" i="3"/>
  <c r="G41" i="3"/>
  <c r="B42" i="3"/>
  <c r="E42" i="3"/>
  <c r="G42" i="3"/>
  <c r="B43" i="3"/>
  <c r="E43" i="3"/>
  <c r="G43" i="3"/>
  <c r="B57" i="3"/>
  <c r="G57" i="3"/>
  <c r="B58" i="3"/>
  <c r="G58" i="3"/>
  <c r="B24" i="3"/>
  <c r="G24" i="3"/>
  <c r="B25" i="3"/>
  <c r="E25" i="3"/>
  <c r="G25" i="3"/>
  <c r="B26" i="3"/>
  <c r="E26" i="3"/>
  <c r="G26" i="3"/>
  <c r="B27" i="3"/>
  <c r="E27" i="3"/>
  <c r="G27" i="3"/>
  <c r="B28" i="3"/>
  <c r="E28" i="3"/>
  <c r="G28" i="3"/>
  <c r="B8" i="3"/>
  <c r="E8" i="3"/>
  <c r="G8" i="3"/>
  <c r="B9" i="3"/>
  <c r="E9" i="3"/>
  <c r="G9" i="3"/>
  <c r="B10" i="3"/>
  <c r="E10" i="3"/>
  <c r="G10" i="3"/>
  <c r="B11" i="3"/>
  <c r="E11" i="3"/>
  <c r="G11" i="3"/>
  <c r="B12" i="3"/>
  <c r="E12" i="3"/>
  <c r="G12" i="3"/>
  <c r="B13" i="3"/>
  <c r="E13" i="3"/>
  <c r="G13" i="3"/>
  <c r="B17" i="3"/>
  <c r="E17" i="3"/>
  <c r="G17" i="3"/>
  <c r="G176" i="3"/>
  <c r="G177" i="3"/>
  <c r="G178" i="3"/>
  <c r="G179" i="3"/>
  <c r="G180" i="3"/>
  <c r="G181" i="3"/>
  <c r="G182" i="3"/>
  <c r="G183" i="3"/>
  <c r="G184" i="3"/>
  <c r="G185" i="3"/>
  <c r="I126" i="3" l="1"/>
  <c r="I141" i="3"/>
  <c r="I183" i="3"/>
  <c r="I54" i="3"/>
  <c r="I156" i="3"/>
  <c r="I148" i="3"/>
  <c r="I163" i="3"/>
  <c r="I61" i="3"/>
  <c r="I133" i="3"/>
  <c r="H5" i="4"/>
  <c r="H6" i="4"/>
  <c r="H7" i="4"/>
  <c r="H8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C25" i="12"/>
  <c r="M16" i="12"/>
  <c r="C15" i="12"/>
  <c r="F14" i="12"/>
  <c r="F13" i="12"/>
  <c r="F12" i="12"/>
  <c r="F11" i="12"/>
  <c r="F15" i="12" s="1"/>
  <c r="F17" i="12" s="1"/>
  <c r="E62" i="3"/>
  <c r="E2" i="3"/>
  <c r="E3" i="3"/>
  <c r="E4" i="3"/>
  <c r="E5" i="3"/>
  <c r="E6" i="3"/>
  <c r="E7" i="3"/>
  <c r="E18" i="3"/>
  <c r="E19" i="3"/>
  <c r="E20" i="3"/>
  <c r="E21" i="3"/>
  <c r="E22" i="3"/>
  <c r="E23" i="3"/>
  <c r="E32" i="3"/>
  <c r="E33" i="3"/>
  <c r="E34" i="3"/>
  <c r="E35" i="3"/>
  <c r="E36" i="3"/>
  <c r="E37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110" i="3"/>
  <c r="E111" i="3"/>
  <c r="E112" i="3"/>
  <c r="E113" i="3"/>
  <c r="E164" i="3"/>
  <c r="E165" i="3"/>
  <c r="E166" i="3"/>
  <c r="E167" i="3"/>
  <c r="E168" i="3"/>
  <c r="E169" i="3"/>
  <c r="E176" i="3"/>
  <c r="E177" i="3"/>
  <c r="E178" i="3"/>
  <c r="E179" i="3"/>
  <c r="E180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B2" i="3" l="1"/>
  <c r="AA6" i="1" l="1"/>
  <c r="Z6" i="1"/>
  <c r="Y6" i="1"/>
  <c r="X6" i="1"/>
  <c r="W6" i="1"/>
  <c r="V6" i="1"/>
  <c r="U6" i="1"/>
  <c r="T6" i="1"/>
  <c r="AA5" i="1"/>
  <c r="Z5" i="1"/>
  <c r="Y5" i="1"/>
  <c r="X5" i="1"/>
  <c r="W5" i="1"/>
  <c r="B3" i="3"/>
  <c r="B4" i="3"/>
  <c r="B5" i="3"/>
  <c r="B6" i="3"/>
  <c r="B7" i="3"/>
  <c r="B18" i="3"/>
  <c r="B19" i="3"/>
  <c r="B20" i="3"/>
  <c r="B21" i="3"/>
  <c r="B22" i="3"/>
  <c r="B23" i="3"/>
  <c r="B32" i="3"/>
  <c r="B33" i="3"/>
  <c r="B34" i="3"/>
  <c r="B35" i="3"/>
  <c r="B36" i="3"/>
  <c r="B37" i="3"/>
  <c r="B62" i="3"/>
  <c r="B74" i="3"/>
  <c r="B75" i="3"/>
  <c r="B76" i="3"/>
  <c r="B77" i="3"/>
  <c r="B78" i="3"/>
  <c r="B79" i="3"/>
  <c r="B80" i="3"/>
  <c r="B81" i="3"/>
  <c r="B82" i="3"/>
  <c r="B83" i="3"/>
  <c r="B84" i="3"/>
  <c r="B85" i="3"/>
  <c r="B89" i="3"/>
  <c r="B90" i="3"/>
  <c r="B91" i="3"/>
  <c r="B92" i="3"/>
  <c r="B93" i="3"/>
  <c r="B94" i="3"/>
  <c r="B95" i="3"/>
  <c r="B96" i="3"/>
  <c r="B97" i="3"/>
  <c r="B98" i="3"/>
  <c r="B164" i="3"/>
  <c r="B165" i="3"/>
  <c r="B166" i="3"/>
  <c r="B167" i="3"/>
  <c r="B168" i="3"/>
  <c r="B169" i="3"/>
  <c r="B170" i="3"/>
  <c r="B171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22" i="5" l="1"/>
  <c r="B3" i="7"/>
  <c r="B2" i="7"/>
  <c r="C7" i="7" l="1"/>
  <c r="B5" i="7"/>
  <c r="B6" i="7"/>
  <c r="B7" i="7"/>
  <c r="B1546" i="3" l="1"/>
  <c r="B4" i="7" l="1"/>
  <c r="B8" i="7" s="1"/>
  <c r="C30" i="1" l="1"/>
  <c r="C26" i="1"/>
  <c r="C29" i="1" l="1"/>
  <c r="AA14" i="1" l="1"/>
  <c r="Z14" i="1"/>
  <c r="Y14" i="1"/>
  <c r="X14" i="1"/>
  <c r="W14" i="1"/>
  <c r="V14" i="1"/>
  <c r="U14" i="1"/>
  <c r="T14" i="1"/>
  <c r="S14" i="1"/>
  <c r="R14" i="1"/>
  <c r="Q14" i="1"/>
  <c r="AA13" i="1"/>
  <c r="Z13" i="1"/>
  <c r="Y13" i="1"/>
  <c r="X13" i="1"/>
  <c r="W13" i="1"/>
  <c r="V13" i="1"/>
  <c r="U13" i="1"/>
  <c r="T13" i="1"/>
  <c r="S13" i="1"/>
  <c r="R13" i="1"/>
  <c r="Q13" i="1"/>
  <c r="AA12" i="1"/>
  <c r="Z12" i="1"/>
  <c r="Y12" i="1"/>
  <c r="X12" i="1"/>
  <c r="W12" i="1"/>
  <c r="V12" i="1"/>
  <c r="U12" i="1"/>
  <c r="T12" i="1"/>
  <c r="S12" i="1"/>
  <c r="R12" i="1"/>
  <c r="Q12" i="1"/>
  <c r="AA9" i="1"/>
  <c r="Z9" i="1"/>
  <c r="Y9" i="1"/>
  <c r="X9" i="1"/>
  <c r="W9" i="1"/>
  <c r="V9" i="1"/>
  <c r="U9" i="1"/>
  <c r="T9" i="1"/>
  <c r="S9" i="1"/>
  <c r="R9" i="1"/>
  <c r="Q9" i="1"/>
  <c r="V5" i="1"/>
  <c r="U5" i="1"/>
  <c r="T5" i="1"/>
  <c r="S5" i="1"/>
  <c r="R5" i="1"/>
  <c r="Q5" i="1"/>
  <c r="AA4" i="1"/>
  <c r="Z4" i="1"/>
  <c r="Y4" i="1"/>
  <c r="X4" i="1"/>
  <c r="W4" i="1"/>
  <c r="V4" i="1"/>
  <c r="U4" i="1"/>
  <c r="T4" i="1"/>
  <c r="S4" i="1"/>
  <c r="R4" i="1"/>
  <c r="Q4" i="1"/>
  <c r="D8" i="2" l="1"/>
  <c r="C27" i="1"/>
  <c r="G3" i="3" l="1"/>
  <c r="G23" i="3"/>
  <c r="G33" i="3"/>
  <c r="G67" i="3"/>
  <c r="G69" i="3"/>
  <c r="G79" i="3"/>
  <c r="G81" i="3"/>
  <c r="G96" i="3"/>
  <c r="G113" i="3"/>
  <c r="G169" i="3"/>
  <c r="G173" i="3"/>
  <c r="G189" i="3"/>
  <c r="G197" i="3"/>
  <c r="G205" i="3"/>
  <c r="G213" i="3"/>
  <c r="G221" i="3"/>
  <c r="G229" i="3"/>
  <c r="G237" i="3"/>
  <c r="G245" i="3"/>
  <c r="G253" i="3"/>
  <c r="G261" i="3"/>
  <c r="G269" i="3"/>
  <c r="G277" i="3"/>
  <c r="G285" i="3"/>
  <c r="G293" i="3"/>
  <c r="G301" i="3"/>
  <c r="G309" i="3"/>
  <c r="G317" i="3"/>
  <c r="G325" i="3"/>
  <c r="G333" i="3"/>
  <c r="G341" i="3"/>
  <c r="G349" i="3"/>
  <c r="G357" i="3"/>
  <c r="G365" i="3"/>
  <c r="G373" i="3"/>
  <c r="G381" i="3"/>
  <c r="G389" i="3"/>
  <c r="G397" i="3"/>
  <c r="G405" i="3"/>
  <c r="G413" i="3"/>
  <c r="G421" i="3"/>
  <c r="G429" i="3"/>
  <c r="G437" i="3"/>
  <c r="G445" i="3"/>
  <c r="G453" i="3"/>
  <c r="G4" i="3"/>
  <c r="G34" i="3"/>
  <c r="G70" i="3"/>
  <c r="G82" i="3"/>
  <c r="G97" i="3"/>
  <c r="G114" i="3"/>
  <c r="G170" i="3"/>
  <c r="G174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302" i="3"/>
  <c r="G310" i="3"/>
  <c r="G318" i="3"/>
  <c r="G326" i="3"/>
  <c r="G334" i="3"/>
  <c r="G342" i="3"/>
  <c r="G350" i="3"/>
  <c r="G358" i="3"/>
  <c r="G366" i="3"/>
  <c r="G374" i="3"/>
  <c r="G382" i="3"/>
  <c r="G390" i="3"/>
  <c r="G398" i="3"/>
  <c r="G406" i="3"/>
  <c r="G414" i="3"/>
  <c r="G422" i="3"/>
  <c r="G430" i="3"/>
  <c r="G438" i="3"/>
  <c r="G446" i="3"/>
  <c r="G454" i="3"/>
  <c r="G462" i="3"/>
  <c r="G470" i="3"/>
  <c r="G478" i="3"/>
  <c r="G486" i="3"/>
  <c r="G5" i="3"/>
  <c r="G35" i="3"/>
  <c r="G71" i="3"/>
  <c r="G83" i="3"/>
  <c r="G98" i="3"/>
  <c r="G115" i="3"/>
  <c r="G171" i="3"/>
  <c r="G175" i="3"/>
  <c r="G191" i="3"/>
  <c r="G199" i="3"/>
  <c r="G207" i="3"/>
  <c r="G215" i="3"/>
  <c r="G223" i="3"/>
  <c r="G231" i="3"/>
  <c r="G239" i="3"/>
  <c r="G247" i="3"/>
  <c r="G255" i="3"/>
  <c r="G263" i="3"/>
  <c r="G271" i="3"/>
  <c r="G279" i="3"/>
  <c r="G287" i="3"/>
  <c r="G295" i="3"/>
  <c r="G303" i="3"/>
  <c r="G311" i="3"/>
  <c r="G319" i="3"/>
  <c r="G327" i="3"/>
  <c r="G335" i="3"/>
  <c r="G343" i="3"/>
  <c r="G351" i="3"/>
  <c r="G359" i="3"/>
  <c r="G367" i="3"/>
  <c r="G375" i="3"/>
  <c r="G383" i="3"/>
  <c r="G391" i="3"/>
  <c r="G399" i="3"/>
  <c r="G407" i="3"/>
  <c r="G415" i="3"/>
  <c r="G423" i="3"/>
  <c r="G431" i="3"/>
  <c r="G439" i="3"/>
  <c r="G447" i="3"/>
  <c r="G455" i="3"/>
  <c r="G463" i="3"/>
  <c r="G471" i="3"/>
  <c r="G479" i="3"/>
  <c r="G487" i="3"/>
  <c r="G495" i="3"/>
  <c r="G503" i="3"/>
  <c r="G511" i="3"/>
  <c r="G6" i="3"/>
  <c r="G18" i="3"/>
  <c r="G36" i="3"/>
  <c r="G62" i="3"/>
  <c r="G72" i="3"/>
  <c r="G74" i="3"/>
  <c r="G84" i="3"/>
  <c r="G91" i="3"/>
  <c r="G99" i="3"/>
  <c r="G164" i="3"/>
  <c r="G192" i="3"/>
  <c r="G200" i="3"/>
  <c r="G208" i="3"/>
  <c r="G216" i="3"/>
  <c r="G224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344" i="3"/>
  <c r="G352" i="3"/>
  <c r="G360" i="3"/>
  <c r="G368" i="3"/>
  <c r="G376" i="3"/>
  <c r="G384" i="3"/>
  <c r="G392" i="3"/>
  <c r="G400" i="3"/>
  <c r="G408" i="3"/>
  <c r="G416" i="3"/>
  <c r="G424" i="3"/>
  <c r="G432" i="3"/>
  <c r="G440" i="3"/>
  <c r="G448" i="3"/>
  <c r="G456" i="3"/>
  <c r="G464" i="3"/>
  <c r="G472" i="3"/>
  <c r="G480" i="3"/>
  <c r="G488" i="3"/>
  <c r="G496" i="3"/>
  <c r="G504" i="3"/>
  <c r="G512" i="3"/>
  <c r="G7" i="3"/>
  <c r="G19" i="3"/>
  <c r="G37" i="3"/>
  <c r="G63" i="3"/>
  <c r="G73" i="3"/>
  <c r="G75" i="3"/>
  <c r="G85" i="3"/>
  <c r="G92" i="3"/>
  <c r="G100" i="3"/>
  <c r="G165" i="3"/>
  <c r="G193" i="3"/>
  <c r="G201" i="3"/>
  <c r="G209" i="3"/>
  <c r="G217" i="3"/>
  <c r="G225" i="3"/>
  <c r="G233" i="3"/>
  <c r="G241" i="3"/>
  <c r="G249" i="3"/>
  <c r="G257" i="3"/>
  <c r="G265" i="3"/>
  <c r="G273" i="3"/>
  <c r="G281" i="3"/>
  <c r="G289" i="3"/>
  <c r="G297" i="3"/>
  <c r="G305" i="3"/>
  <c r="G313" i="3"/>
  <c r="G321" i="3"/>
  <c r="G329" i="3"/>
  <c r="G337" i="3"/>
  <c r="G345" i="3"/>
  <c r="G353" i="3"/>
  <c r="G361" i="3"/>
  <c r="G369" i="3"/>
  <c r="G377" i="3"/>
  <c r="G385" i="3"/>
  <c r="G393" i="3"/>
  <c r="G401" i="3"/>
  <c r="G409" i="3"/>
  <c r="G417" i="3"/>
  <c r="G425" i="3"/>
  <c r="G433" i="3"/>
  <c r="G20" i="3"/>
  <c r="G64" i="3"/>
  <c r="G76" i="3"/>
  <c r="G89" i="3"/>
  <c r="G93" i="3"/>
  <c r="G110" i="3"/>
  <c r="G166" i="3"/>
  <c r="G186" i="3"/>
  <c r="G194" i="3"/>
  <c r="G202" i="3"/>
  <c r="G210" i="3"/>
  <c r="G218" i="3"/>
  <c r="G226" i="3"/>
  <c r="G234" i="3"/>
  <c r="G242" i="3"/>
  <c r="G250" i="3"/>
  <c r="G258" i="3"/>
  <c r="G266" i="3"/>
  <c r="G274" i="3"/>
  <c r="G282" i="3"/>
  <c r="G290" i="3"/>
  <c r="G298" i="3"/>
  <c r="G306" i="3"/>
  <c r="G314" i="3"/>
  <c r="G322" i="3"/>
  <c r="G330" i="3"/>
  <c r="G338" i="3"/>
  <c r="G346" i="3"/>
  <c r="G354" i="3"/>
  <c r="G362" i="3"/>
  <c r="G370" i="3"/>
  <c r="G378" i="3"/>
  <c r="G386" i="3"/>
  <c r="G394" i="3"/>
  <c r="G402" i="3"/>
  <c r="G410" i="3"/>
  <c r="G418" i="3"/>
  <c r="G426" i="3"/>
  <c r="G434" i="3"/>
  <c r="G442" i="3"/>
  <c r="G450" i="3"/>
  <c r="G458" i="3"/>
  <c r="G466" i="3"/>
  <c r="G474" i="3"/>
  <c r="G482" i="3"/>
  <c r="G490" i="3"/>
  <c r="G498" i="3"/>
  <c r="G506" i="3"/>
  <c r="G514" i="3"/>
  <c r="G522" i="3"/>
  <c r="G530" i="3"/>
  <c r="G538" i="3"/>
  <c r="G546" i="3"/>
  <c r="G554" i="3"/>
  <c r="G562" i="3"/>
  <c r="G570" i="3"/>
  <c r="G578" i="3"/>
  <c r="G586" i="3"/>
  <c r="G594" i="3"/>
  <c r="G602" i="3"/>
  <c r="G610" i="3"/>
  <c r="G618" i="3"/>
  <c r="G626" i="3"/>
  <c r="G634" i="3"/>
  <c r="G642" i="3"/>
  <c r="G650" i="3"/>
  <c r="G658" i="3"/>
  <c r="G666" i="3"/>
  <c r="G674" i="3"/>
  <c r="G682" i="3"/>
  <c r="G21" i="3"/>
  <c r="G65" i="3"/>
  <c r="G77" i="3"/>
  <c r="G90" i="3"/>
  <c r="G94" i="3"/>
  <c r="G111" i="3"/>
  <c r="G167" i="3"/>
  <c r="G187" i="3"/>
  <c r="G195" i="3"/>
  <c r="G203" i="3"/>
  <c r="G211" i="3"/>
  <c r="G219" i="3"/>
  <c r="G227" i="3"/>
  <c r="G235" i="3"/>
  <c r="G243" i="3"/>
  <c r="G251" i="3"/>
  <c r="G259" i="3"/>
  <c r="G267" i="3"/>
  <c r="G275" i="3"/>
  <c r="G283" i="3"/>
  <c r="G291" i="3"/>
  <c r="G299" i="3"/>
  <c r="G307" i="3"/>
  <c r="G315" i="3"/>
  <c r="G323" i="3"/>
  <c r="G331" i="3"/>
  <c r="G339" i="3"/>
  <c r="G347" i="3"/>
  <c r="G355" i="3"/>
  <c r="G363" i="3"/>
  <c r="G371" i="3"/>
  <c r="G379" i="3"/>
  <c r="G387" i="3"/>
  <c r="G395" i="3"/>
  <c r="G403" i="3"/>
  <c r="G411" i="3"/>
  <c r="G419" i="3"/>
  <c r="G427" i="3"/>
  <c r="G435" i="3"/>
  <c r="G443" i="3"/>
  <c r="G451" i="3"/>
  <c r="G459" i="3"/>
  <c r="G467" i="3"/>
  <c r="G475" i="3"/>
  <c r="G483" i="3"/>
  <c r="G491" i="3"/>
  <c r="G499" i="3"/>
  <c r="G507" i="3"/>
  <c r="G515" i="3"/>
  <c r="G523" i="3"/>
  <c r="G531" i="3"/>
  <c r="G539" i="3"/>
  <c r="G547" i="3"/>
  <c r="G555" i="3"/>
  <c r="G563" i="3"/>
  <c r="G571" i="3"/>
  <c r="G579" i="3"/>
  <c r="G587" i="3"/>
  <c r="G595" i="3"/>
  <c r="G603" i="3"/>
  <c r="G611" i="3"/>
  <c r="G619" i="3"/>
  <c r="G627" i="3"/>
  <c r="G635" i="3"/>
  <c r="G643" i="3"/>
  <c r="G651" i="3"/>
  <c r="G659" i="3"/>
  <c r="G667" i="3"/>
  <c r="G675" i="3"/>
  <c r="G683" i="3"/>
  <c r="G691" i="3"/>
  <c r="G699" i="3"/>
  <c r="G22" i="3"/>
  <c r="G32" i="3"/>
  <c r="I39" i="3" s="1"/>
  <c r="G66" i="3"/>
  <c r="G68" i="3"/>
  <c r="G78" i="3"/>
  <c r="G80" i="3"/>
  <c r="G95" i="3"/>
  <c r="G112" i="3"/>
  <c r="G168" i="3"/>
  <c r="G172" i="3"/>
  <c r="G188" i="3"/>
  <c r="G196" i="3"/>
  <c r="G204" i="3"/>
  <c r="G212" i="3"/>
  <c r="G220" i="3"/>
  <c r="G228" i="3"/>
  <c r="G236" i="3"/>
  <c r="G244" i="3"/>
  <c r="G252" i="3"/>
  <c r="G260" i="3"/>
  <c r="G268" i="3"/>
  <c r="G276" i="3"/>
  <c r="G284" i="3"/>
  <c r="G292" i="3"/>
  <c r="G300" i="3"/>
  <c r="G308" i="3"/>
  <c r="G316" i="3"/>
  <c r="G324" i="3"/>
  <c r="G332" i="3"/>
  <c r="G340" i="3"/>
  <c r="G348" i="3"/>
  <c r="G356" i="3"/>
  <c r="G364" i="3"/>
  <c r="G372" i="3"/>
  <c r="G380" i="3"/>
  <c r="G388" i="3"/>
  <c r="G396" i="3"/>
  <c r="G404" i="3"/>
  <c r="G412" i="3"/>
  <c r="G420" i="3"/>
  <c r="G428" i="3"/>
  <c r="G436" i="3"/>
  <c r="G444" i="3"/>
  <c r="G452" i="3"/>
  <c r="G460" i="3"/>
  <c r="G468" i="3"/>
  <c r="G476" i="3"/>
  <c r="G484" i="3"/>
  <c r="G492" i="3"/>
  <c r="G500" i="3"/>
  <c r="G508" i="3"/>
  <c r="G516" i="3"/>
  <c r="G524" i="3"/>
  <c r="G441" i="3"/>
  <c r="G481" i="3"/>
  <c r="G505" i="3"/>
  <c r="G521" i="3"/>
  <c r="G534" i="3"/>
  <c r="G544" i="3"/>
  <c r="G556" i="3"/>
  <c r="G566" i="3"/>
  <c r="G576" i="3"/>
  <c r="G588" i="3"/>
  <c r="G598" i="3"/>
  <c r="G608" i="3"/>
  <c r="G620" i="3"/>
  <c r="G630" i="3"/>
  <c r="G640" i="3"/>
  <c r="G652" i="3"/>
  <c r="G662" i="3"/>
  <c r="G672" i="3"/>
  <c r="G684" i="3"/>
  <c r="G693" i="3"/>
  <c r="G702" i="3"/>
  <c r="G710" i="3"/>
  <c r="G718" i="3"/>
  <c r="G726" i="3"/>
  <c r="G734" i="3"/>
  <c r="G742" i="3"/>
  <c r="G750" i="3"/>
  <c r="G758" i="3"/>
  <c r="G766" i="3"/>
  <c r="G774" i="3"/>
  <c r="G782" i="3"/>
  <c r="G790" i="3"/>
  <c r="G798" i="3"/>
  <c r="G806" i="3"/>
  <c r="G814" i="3"/>
  <c r="G822" i="3"/>
  <c r="G830" i="3"/>
  <c r="G838" i="3"/>
  <c r="G846" i="3"/>
  <c r="G854" i="3"/>
  <c r="G862" i="3"/>
  <c r="G870" i="3"/>
  <c r="G878" i="3"/>
  <c r="G886" i="3"/>
  <c r="G894" i="3"/>
  <c r="G902" i="3"/>
  <c r="G910" i="3"/>
  <c r="G918" i="3"/>
  <c r="G926" i="3"/>
  <c r="G934" i="3"/>
  <c r="G942" i="3"/>
  <c r="G950" i="3"/>
  <c r="G958" i="3"/>
  <c r="G966" i="3"/>
  <c r="G974" i="3"/>
  <c r="G982" i="3"/>
  <c r="G990" i="3"/>
  <c r="G998" i="3"/>
  <c r="G1006" i="3"/>
  <c r="G1014" i="3"/>
  <c r="G1022" i="3"/>
  <c r="G1030" i="3"/>
  <c r="G1038" i="3"/>
  <c r="G449" i="3"/>
  <c r="G485" i="3"/>
  <c r="G509" i="3"/>
  <c r="G525" i="3"/>
  <c r="G535" i="3"/>
  <c r="G545" i="3"/>
  <c r="G557" i="3"/>
  <c r="G567" i="3"/>
  <c r="G577" i="3"/>
  <c r="G589" i="3"/>
  <c r="G599" i="3"/>
  <c r="G609" i="3"/>
  <c r="G621" i="3"/>
  <c r="G631" i="3"/>
  <c r="G641" i="3"/>
  <c r="G653" i="3"/>
  <c r="G663" i="3"/>
  <c r="G673" i="3"/>
  <c r="G685" i="3"/>
  <c r="G694" i="3"/>
  <c r="G703" i="3"/>
  <c r="G711" i="3"/>
  <c r="G719" i="3"/>
  <c r="G727" i="3"/>
  <c r="G735" i="3"/>
  <c r="G743" i="3"/>
  <c r="G751" i="3"/>
  <c r="G759" i="3"/>
  <c r="G767" i="3"/>
  <c r="G775" i="3"/>
  <c r="G783" i="3"/>
  <c r="G791" i="3"/>
  <c r="G799" i="3"/>
  <c r="G807" i="3"/>
  <c r="G815" i="3"/>
  <c r="G823" i="3"/>
  <c r="G831" i="3"/>
  <c r="G839" i="3"/>
  <c r="G847" i="3"/>
  <c r="G855" i="3"/>
  <c r="G863" i="3"/>
  <c r="G871" i="3"/>
  <c r="G879" i="3"/>
  <c r="G887" i="3"/>
  <c r="G895" i="3"/>
  <c r="G903" i="3"/>
  <c r="G911" i="3"/>
  <c r="G919" i="3"/>
  <c r="G927" i="3"/>
  <c r="G935" i="3"/>
  <c r="G943" i="3"/>
  <c r="G951" i="3"/>
  <c r="G959" i="3"/>
  <c r="G967" i="3"/>
  <c r="G975" i="3"/>
  <c r="G983" i="3"/>
  <c r="G991" i="3"/>
  <c r="G999" i="3"/>
  <c r="G1007" i="3"/>
  <c r="G1015" i="3"/>
  <c r="G1023" i="3"/>
  <c r="G1031" i="3"/>
  <c r="G1039" i="3"/>
  <c r="G1047" i="3"/>
  <c r="G1055" i="3"/>
  <c r="G1063" i="3"/>
  <c r="G1071" i="3"/>
  <c r="G1079" i="3"/>
  <c r="G1087" i="3"/>
  <c r="G1095" i="3"/>
  <c r="G1103" i="3"/>
  <c r="G1111" i="3"/>
  <c r="G1119" i="3"/>
  <c r="G1127" i="3"/>
  <c r="G1135" i="3"/>
  <c r="G1143" i="3"/>
  <c r="G1151" i="3"/>
  <c r="G1159" i="3"/>
  <c r="G1167" i="3"/>
  <c r="G1175" i="3"/>
  <c r="G1183" i="3"/>
  <c r="G1191" i="3"/>
  <c r="G1199" i="3"/>
  <c r="G1207" i="3"/>
  <c r="G457" i="3"/>
  <c r="G489" i="3"/>
  <c r="G510" i="3"/>
  <c r="G526" i="3"/>
  <c r="G536" i="3"/>
  <c r="G548" i="3"/>
  <c r="G558" i="3"/>
  <c r="G568" i="3"/>
  <c r="G580" i="3"/>
  <c r="G590" i="3"/>
  <c r="G600" i="3"/>
  <c r="G612" i="3"/>
  <c r="G622" i="3"/>
  <c r="G632" i="3"/>
  <c r="G644" i="3"/>
  <c r="G654" i="3"/>
  <c r="G664" i="3"/>
  <c r="G676" i="3"/>
  <c r="G686" i="3"/>
  <c r="G695" i="3"/>
  <c r="G704" i="3"/>
  <c r="G712" i="3"/>
  <c r="G720" i="3"/>
  <c r="G728" i="3"/>
  <c r="G736" i="3"/>
  <c r="G744" i="3"/>
  <c r="G752" i="3"/>
  <c r="G760" i="3"/>
  <c r="G768" i="3"/>
  <c r="G776" i="3"/>
  <c r="G784" i="3"/>
  <c r="G792" i="3"/>
  <c r="G800" i="3"/>
  <c r="G808" i="3"/>
  <c r="G816" i="3"/>
  <c r="G824" i="3"/>
  <c r="G832" i="3"/>
  <c r="G840" i="3"/>
  <c r="G848" i="3"/>
  <c r="G856" i="3"/>
  <c r="G864" i="3"/>
  <c r="G872" i="3"/>
  <c r="G880" i="3"/>
  <c r="G888" i="3"/>
  <c r="G896" i="3"/>
  <c r="G904" i="3"/>
  <c r="G912" i="3"/>
  <c r="G920" i="3"/>
  <c r="G928" i="3"/>
  <c r="G936" i="3"/>
  <c r="G944" i="3"/>
  <c r="G952" i="3"/>
  <c r="G960" i="3"/>
  <c r="G968" i="3"/>
  <c r="G976" i="3"/>
  <c r="G984" i="3"/>
  <c r="G992" i="3"/>
  <c r="G1000" i="3"/>
  <c r="G1008" i="3"/>
  <c r="G1016" i="3"/>
  <c r="G1024" i="3"/>
  <c r="G1032" i="3"/>
  <c r="G1040" i="3"/>
  <c r="G1048" i="3"/>
  <c r="G1056" i="3"/>
  <c r="G1064" i="3"/>
  <c r="G1072" i="3"/>
  <c r="G1080" i="3"/>
  <c r="G1088" i="3"/>
  <c r="G1096" i="3"/>
  <c r="G1104" i="3"/>
  <c r="G1112" i="3"/>
  <c r="G1120" i="3"/>
  <c r="G1128" i="3"/>
  <c r="G1136" i="3"/>
  <c r="G1144" i="3"/>
  <c r="G1152" i="3"/>
  <c r="G1160" i="3"/>
  <c r="G1168" i="3"/>
  <c r="G1176" i="3"/>
  <c r="G1184" i="3"/>
  <c r="G1192" i="3"/>
  <c r="G1200" i="3"/>
  <c r="G1208" i="3"/>
  <c r="G1216" i="3"/>
  <c r="G461" i="3"/>
  <c r="G493" i="3"/>
  <c r="G513" i="3"/>
  <c r="G527" i="3"/>
  <c r="G537" i="3"/>
  <c r="G549" i="3"/>
  <c r="G559" i="3"/>
  <c r="G569" i="3"/>
  <c r="G581" i="3"/>
  <c r="G591" i="3"/>
  <c r="G601" i="3"/>
  <c r="G613" i="3"/>
  <c r="G623" i="3"/>
  <c r="G633" i="3"/>
  <c r="G645" i="3"/>
  <c r="G655" i="3"/>
  <c r="G665" i="3"/>
  <c r="G677" i="3"/>
  <c r="G687" i="3"/>
  <c r="G696" i="3"/>
  <c r="G705" i="3"/>
  <c r="G713" i="3"/>
  <c r="G721" i="3"/>
  <c r="G729" i="3"/>
  <c r="G737" i="3"/>
  <c r="G745" i="3"/>
  <c r="G753" i="3"/>
  <c r="G761" i="3"/>
  <c r="G769" i="3"/>
  <c r="G777" i="3"/>
  <c r="G785" i="3"/>
  <c r="G793" i="3"/>
  <c r="G801" i="3"/>
  <c r="G809" i="3"/>
  <c r="G817" i="3"/>
  <c r="G825" i="3"/>
  <c r="G833" i="3"/>
  <c r="G841" i="3"/>
  <c r="G849" i="3"/>
  <c r="G857" i="3"/>
  <c r="G865" i="3"/>
  <c r="G873" i="3"/>
  <c r="G881" i="3"/>
  <c r="G889" i="3"/>
  <c r="G897" i="3"/>
  <c r="G905" i="3"/>
  <c r="G913" i="3"/>
  <c r="G921" i="3"/>
  <c r="G929" i="3"/>
  <c r="G937" i="3"/>
  <c r="G945" i="3"/>
  <c r="G953" i="3"/>
  <c r="G961" i="3"/>
  <c r="G969" i="3"/>
  <c r="G977" i="3"/>
  <c r="G985" i="3"/>
  <c r="G993" i="3"/>
  <c r="G1001" i="3"/>
  <c r="G1009" i="3"/>
  <c r="G1017" i="3"/>
  <c r="G1025" i="3"/>
  <c r="G1033" i="3"/>
  <c r="G1041" i="3"/>
  <c r="G1049" i="3"/>
  <c r="G1057" i="3"/>
  <c r="G1065" i="3"/>
  <c r="G1073" i="3"/>
  <c r="G1081" i="3"/>
  <c r="G1089" i="3"/>
  <c r="G465" i="3"/>
  <c r="G494" i="3"/>
  <c r="G517" i="3"/>
  <c r="G528" i="3"/>
  <c r="G540" i="3"/>
  <c r="G550" i="3"/>
  <c r="G560" i="3"/>
  <c r="G572" i="3"/>
  <c r="G582" i="3"/>
  <c r="G592" i="3"/>
  <c r="G604" i="3"/>
  <c r="G614" i="3"/>
  <c r="G624" i="3"/>
  <c r="G636" i="3"/>
  <c r="G646" i="3"/>
  <c r="G656" i="3"/>
  <c r="G668" i="3"/>
  <c r="G678" i="3"/>
  <c r="G688" i="3"/>
  <c r="G697" i="3"/>
  <c r="G706" i="3"/>
  <c r="G714" i="3"/>
  <c r="G722" i="3"/>
  <c r="G730" i="3"/>
  <c r="G738" i="3"/>
  <c r="G746" i="3"/>
  <c r="G754" i="3"/>
  <c r="G762" i="3"/>
  <c r="G770" i="3"/>
  <c r="G778" i="3"/>
  <c r="G786" i="3"/>
  <c r="G794" i="3"/>
  <c r="G802" i="3"/>
  <c r="G810" i="3"/>
  <c r="G818" i="3"/>
  <c r="G826" i="3"/>
  <c r="G834" i="3"/>
  <c r="G842" i="3"/>
  <c r="G850" i="3"/>
  <c r="G858" i="3"/>
  <c r="G866" i="3"/>
  <c r="G874" i="3"/>
  <c r="G882" i="3"/>
  <c r="G890" i="3"/>
  <c r="G898" i="3"/>
  <c r="G906" i="3"/>
  <c r="G914" i="3"/>
  <c r="G922" i="3"/>
  <c r="G930" i="3"/>
  <c r="G938" i="3"/>
  <c r="G946" i="3"/>
  <c r="G954" i="3"/>
  <c r="G962" i="3"/>
  <c r="G970" i="3"/>
  <c r="G978" i="3"/>
  <c r="G986" i="3"/>
  <c r="G994" i="3"/>
  <c r="G1002" i="3"/>
  <c r="G1010" i="3"/>
  <c r="G1018" i="3"/>
  <c r="G1026" i="3"/>
  <c r="G1034" i="3"/>
  <c r="G1042" i="3"/>
  <c r="G1050" i="3"/>
  <c r="G1058" i="3"/>
  <c r="G1066" i="3"/>
  <c r="G1074" i="3"/>
  <c r="G1082" i="3"/>
  <c r="G1090" i="3"/>
  <c r="G469" i="3"/>
  <c r="G497" i="3"/>
  <c r="G518" i="3"/>
  <c r="G529" i="3"/>
  <c r="G541" i="3"/>
  <c r="G551" i="3"/>
  <c r="G561" i="3"/>
  <c r="G573" i="3"/>
  <c r="G583" i="3"/>
  <c r="G593" i="3"/>
  <c r="G605" i="3"/>
  <c r="G615" i="3"/>
  <c r="G625" i="3"/>
  <c r="G637" i="3"/>
  <c r="G647" i="3"/>
  <c r="G657" i="3"/>
  <c r="G669" i="3"/>
  <c r="G679" i="3"/>
  <c r="G689" i="3"/>
  <c r="G698" i="3"/>
  <c r="G707" i="3"/>
  <c r="G715" i="3"/>
  <c r="G723" i="3"/>
  <c r="G731" i="3"/>
  <c r="G739" i="3"/>
  <c r="G747" i="3"/>
  <c r="G755" i="3"/>
  <c r="G763" i="3"/>
  <c r="G771" i="3"/>
  <c r="G779" i="3"/>
  <c r="G787" i="3"/>
  <c r="G795" i="3"/>
  <c r="G803" i="3"/>
  <c r="G811" i="3"/>
  <c r="G819" i="3"/>
  <c r="G827" i="3"/>
  <c r="G835" i="3"/>
  <c r="G843" i="3"/>
  <c r="G851" i="3"/>
  <c r="G859" i="3"/>
  <c r="G867" i="3"/>
  <c r="G875" i="3"/>
  <c r="G883" i="3"/>
  <c r="G891" i="3"/>
  <c r="G899" i="3"/>
  <c r="G907" i="3"/>
  <c r="G915" i="3"/>
  <c r="G923" i="3"/>
  <c r="G931" i="3"/>
  <c r="G939" i="3"/>
  <c r="G947" i="3"/>
  <c r="G955" i="3"/>
  <c r="G963" i="3"/>
  <c r="G971" i="3"/>
  <c r="G979" i="3"/>
  <c r="G987" i="3"/>
  <c r="G995" i="3"/>
  <c r="G1003" i="3"/>
  <c r="G1011" i="3"/>
  <c r="G1019" i="3"/>
  <c r="G1027" i="3"/>
  <c r="G1035" i="3"/>
  <c r="G1043" i="3"/>
  <c r="G1051" i="3"/>
  <c r="G1059" i="3"/>
  <c r="G477" i="3"/>
  <c r="G502" i="3"/>
  <c r="G520" i="3"/>
  <c r="G533" i="3"/>
  <c r="G543" i="3"/>
  <c r="G553" i="3"/>
  <c r="G565" i="3"/>
  <c r="G575" i="3"/>
  <c r="G585" i="3"/>
  <c r="G597" i="3"/>
  <c r="G607" i="3"/>
  <c r="G617" i="3"/>
  <c r="G629" i="3"/>
  <c r="G639" i="3"/>
  <c r="G649" i="3"/>
  <c r="G661" i="3"/>
  <c r="G671" i="3"/>
  <c r="G681" i="3"/>
  <c r="G692" i="3"/>
  <c r="G701" i="3"/>
  <c r="G709" i="3"/>
  <c r="G717" i="3"/>
  <c r="G725" i="3"/>
  <c r="G733" i="3"/>
  <c r="G741" i="3"/>
  <c r="G749" i="3"/>
  <c r="G757" i="3"/>
  <c r="G765" i="3"/>
  <c r="G773" i="3"/>
  <c r="G781" i="3"/>
  <c r="G789" i="3"/>
  <c r="G797" i="3"/>
  <c r="G805" i="3"/>
  <c r="G813" i="3"/>
  <c r="G821" i="3"/>
  <c r="G829" i="3"/>
  <c r="G837" i="3"/>
  <c r="G845" i="3"/>
  <c r="G853" i="3"/>
  <c r="G861" i="3"/>
  <c r="G869" i="3"/>
  <c r="G877" i="3"/>
  <c r="G885" i="3"/>
  <c r="G893" i="3"/>
  <c r="G901" i="3"/>
  <c r="G909" i="3"/>
  <c r="G917" i="3"/>
  <c r="G925" i="3"/>
  <c r="G933" i="3"/>
  <c r="G941" i="3"/>
  <c r="G949" i="3"/>
  <c r="G957" i="3"/>
  <c r="G965" i="3"/>
  <c r="G973" i="3"/>
  <c r="G981" i="3"/>
  <c r="G989" i="3"/>
  <c r="G997" i="3"/>
  <c r="G1005" i="3"/>
  <c r="G1013" i="3"/>
  <c r="G1021" i="3"/>
  <c r="G1029" i="3"/>
  <c r="G1037" i="3"/>
  <c r="G1045" i="3"/>
  <c r="G1053" i="3"/>
  <c r="G1061" i="3"/>
  <c r="G1069" i="3"/>
  <c r="G1077" i="3"/>
  <c r="G1085" i="3"/>
  <c r="G1093" i="3"/>
  <c r="G473" i="3"/>
  <c r="G584" i="3"/>
  <c r="G670" i="3"/>
  <c r="G740" i="3"/>
  <c r="G804" i="3"/>
  <c r="G868" i="3"/>
  <c r="G932" i="3"/>
  <c r="G996" i="3"/>
  <c r="G1052" i="3"/>
  <c r="G1076" i="3"/>
  <c r="G1097" i="3"/>
  <c r="G1107" i="3"/>
  <c r="G1117" i="3"/>
  <c r="G1129" i="3"/>
  <c r="G1139" i="3"/>
  <c r="G1149" i="3"/>
  <c r="G1161" i="3"/>
  <c r="G1171" i="3"/>
  <c r="G1181" i="3"/>
  <c r="G1193" i="3"/>
  <c r="G1203" i="3"/>
  <c r="G1213" i="3"/>
  <c r="G1222" i="3"/>
  <c r="G1230" i="3"/>
  <c r="G1238" i="3"/>
  <c r="G1246" i="3"/>
  <c r="G1254" i="3"/>
  <c r="G1262" i="3"/>
  <c r="G1270" i="3"/>
  <c r="G1278" i="3"/>
  <c r="G1286" i="3"/>
  <c r="G1294" i="3"/>
  <c r="G1302" i="3"/>
  <c r="G1310" i="3"/>
  <c r="G1318" i="3"/>
  <c r="G1326" i="3"/>
  <c r="G1334" i="3"/>
  <c r="G1342" i="3"/>
  <c r="G1350" i="3"/>
  <c r="G1358" i="3"/>
  <c r="G1366" i="3"/>
  <c r="G1374" i="3"/>
  <c r="G1382" i="3"/>
  <c r="G1390" i="3"/>
  <c r="G1398" i="3"/>
  <c r="G1406" i="3"/>
  <c r="G1414" i="3"/>
  <c r="G1422" i="3"/>
  <c r="G1430" i="3"/>
  <c r="G1438" i="3"/>
  <c r="G1446" i="3"/>
  <c r="G1454" i="3"/>
  <c r="G1462" i="3"/>
  <c r="G1470" i="3"/>
  <c r="G1478" i="3"/>
  <c r="G1486" i="3"/>
  <c r="G1494" i="3"/>
  <c r="G1502" i="3"/>
  <c r="G1510" i="3"/>
  <c r="G1518" i="3"/>
  <c r="G1526" i="3"/>
  <c r="G1534" i="3"/>
  <c r="G1542" i="3"/>
  <c r="G788" i="3"/>
  <c r="G980" i="3"/>
  <c r="G1092" i="3"/>
  <c r="G1147" i="3"/>
  <c r="G1179" i="3"/>
  <c r="G1236" i="3"/>
  <c r="G1284" i="3"/>
  <c r="G1324" i="3"/>
  <c r="G1372" i="3"/>
  <c r="G1436" i="3"/>
  <c r="G1476" i="3"/>
  <c r="G1532" i="3"/>
  <c r="G501" i="3"/>
  <c r="G596" i="3"/>
  <c r="G680" i="3"/>
  <c r="G748" i="3"/>
  <c r="G812" i="3"/>
  <c r="G876" i="3"/>
  <c r="G940" i="3"/>
  <c r="G1004" i="3"/>
  <c r="G1054" i="3"/>
  <c r="G1078" i="3"/>
  <c r="G1098" i="3"/>
  <c r="G1108" i="3"/>
  <c r="G1118" i="3"/>
  <c r="G1130" i="3"/>
  <c r="G1140" i="3"/>
  <c r="G1150" i="3"/>
  <c r="G1162" i="3"/>
  <c r="G1172" i="3"/>
  <c r="G1182" i="3"/>
  <c r="G1194" i="3"/>
  <c r="G1204" i="3"/>
  <c r="G1214" i="3"/>
  <c r="G1223" i="3"/>
  <c r="G1231" i="3"/>
  <c r="G1239" i="3"/>
  <c r="G1247" i="3"/>
  <c r="G1255" i="3"/>
  <c r="G1263" i="3"/>
  <c r="G1271" i="3"/>
  <c r="G1279" i="3"/>
  <c r="G1287" i="3"/>
  <c r="G1295" i="3"/>
  <c r="G1303" i="3"/>
  <c r="G1311" i="3"/>
  <c r="G1319" i="3"/>
  <c r="G1327" i="3"/>
  <c r="G1335" i="3"/>
  <c r="G1343" i="3"/>
  <c r="G1351" i="3"/>
  <c r="G1359" i="3"/>
  <c r="G1367" i="3"/>
  <c r="G1375" i="3"/>
  <c r="G1383" i="3"/>
  <c r="G1391" i="3"/>
  <c r="G1399" i="3"/>
  <c r="G1407" i="3"/>
  <c r="G1415" i="3"/>
  <c r="G1423" i="3"/>
  <c r="G1431" i="3"/>
  <c r="G1439" i="3"/>
  <c r="G1447" i="3"/>
  <c r="G1455" i="3"/>
  <c r="G1463" i="3"/>
  <c r="G1471" i="3"/>
  <c r="G1479" i="3"/>
  <c r="G1487" i="3"/>
  <c r="G1495" i="3"/>
  <c r="G1503" i="3"/>
  <c r="G1511" i="3"/>
  <c r="G1519" i="3"/>
  <c r="G1527" i="3"/>
  <c r="G1535" i="3"/>
  <c r="G1543" i="3"/>
  <c r="G852" i="3"/>
  <c r="G1115" i="3"/>
  <c r="G1189" i="3"/>
  <c r="G1268" i="3"/>
  <c r="G1316" i="3"/>
  <c r="G1396" i="3"/>
  <c r="G1492" i="3"/>
  <c r="G519" i="3"/>
  <c r="G606" i="3"/>
  <c r="G690" i="3"/>
  <c r="G756" i="3"/>
  <c r="G820" i="3"/>
  <c r="G884" i="3"/>
  <c r="G948" i="3"/>
  <c r="G1012" i="3"/>
  <c r="G1060" i="3"/>
  <c r="G1083" i="3"/>
  <c r="G1099" i="3"/>
  <c r="G1109" i="3"/>
  <c r="G1121" i="3"/>
  <c r="G1131" i="3"/>
  <c r="G1141" i="3"/>
  <c r="G1153" i="3"/>
  <c r="G1163" i="3"/>
  <c r="G1173" i="3"/>
  <c r="G1185" i="3"/>
  <c r="G1195" i="3"/>
  <c r="G1205" i="3"/>
  <c r="G1215" i="3"/>
  <c r="G1224" i="3"/>
  <c r="G1232" i="3"/>
  <c r="G1240" i="3"/>
  <c r="G1248" i="3"/>
  <c r="G1256" i="3"/>
  <c r="G1264" i="3"/>
  <c r="G1272" i="3"/>
  <c r="G1280" i="3"/>
  <c r="G1288" i="3"/>
  <c r="G1296" i="3"/>
  <c r="G1304" i="3"/>
  <c r="G1312" i="3"/>
  <c r="G1320" i="3"/>
  <c r="G1328" i="3"/>
  <c r="G1336" i="3"/>
  <c r="G1344" i="3"/>
  <c r="G1352" i="3"/>
  <c r="G1360" i="3"/>
  <c r="G1368" i="3"/>
  <c r="G1376" i="3"/>
  <c r="G1384" i="3"/>
  <c r="G1392" i="3"/>
  <c r="G1400" i="3"/>
  <c r="G1408" i="3"/>
  <c r="G1416" i="3"/>
  <c r="G1424" i="3"/>
  <c r="G1432" i="3"/>
  <c r="G1440" i="3"/>
  <c r="G1448" i="3"/>
  <c r="G1456" i="3"/>
  <c r="G1464" i="3"/>
  <c r="G1472" i="3"/>
  <c r="G1480" i="3"/>
  <c r="G1488" i="3"/>
  <c r="G1496" i="3"/>
  <c r="G1504" i="3"/>
  <c r="G1512" i="3"/>
  <c r="G1520" i="3"/>
  <c r="G1528" i="3"/>
  <c r="G1536" i="3"/>
  <c r="G1544" i="3"/>
  <c r="G916" i="3"/>
  <c r="G1157" i="3"/>
  <c r="G1211" i="3"/>
  <c r="G1252" i="3"/>
  <c r="G1300" i="3"/>
  <c r="G1340" i="3"/>
  <c r="G1380" i="3"/>
  <c r="G1428" i="3"/>
  <c r="G1468" i="3"/>
  <c r="G1524" i="3"/>
  <c r="G532" i="3"/>
  <c r="G616" i="3"/>
  <c r="G700" i="3"/>
  <c r="G764" i="3"/>
  <c r="G828" i="3"/>
  <c r="G892" i="3"/>
  <c r="G956" i="3"/>
  <c r="G1020" i="3"/>
  <c r="G1062" i="3"/>
  <c r="G1084" i="3"/>
  <c r="G1100" i="3"/>
  <c r="G1110" i="3"/>
  <c r="G1122" i="3"/>
  <c r="G1132" i="3"/>
  <c r="G1142" i="3"/>
  <c r="G1154" i="3"/>
  <c r="G1164" i="3"/>
  <c r="G1174" i="3"/>
  <c r="G1186" i="3"/>
  <c r="G1196" i="3"/>
  <c r="G1206" i="3"/>
  <c r="G1217" i="3"/>
  <c r="G1225" i="3"/>
  <c r="G1233" i="3"/>
  <c r="G1241" i="3"/>
  <c r="G1249" i="3"/>
  <c r="G1257" i="3"/>
  <c r="G1265" i="3"/>
  <c r="G1273" i="3"/>
  <c r="G1281" i="3"/>
  <c r="G1289" i="3"/>
  <c r="G1297" i="3"/>
  <c r="G1305" i="3"/>
  <c r="G1313" i="3"/>
  <c r="G1321" i="3"/>
  <c r="G1329" i="3"/>
  <c r="G1337" i="3"/>
  <c r="G1345" i="3"/>
  <c r="G1353" i="3"/>
  <c r="G1361" i="3"/>
  <c r="G1369" i="3"/>
  <c r="G1377" i="3"/>
  <c r="G1385" i="3"/>
  <c r="G1393" i="3"/>
  <c r="G1401" i="3"/>
  <c r="G1409" i="3"/>
  <c r="G1417" i="3"/>
  <c r="G1425" i="3"/>
  <c r="G1433" i="3"/>
  <c r="G1441" i="3"/>
  <c r="G1449" i="3"/>
  <c r="G1457" i="3"/>
  <c r="G1465" i="3"/>
  <c r="G1473" i="3"/>
  <c r="G1481" i="3"/>
  <c r="G1489" i="3"/>
  <c r="G1497" i="3"/>
  <c r="G1505" i="3"/>
  <c r="G1513" i="3"/>
  <c r="G1521" i="3"/>
  <c r="G1529" i="3"/>
  <c r="G1537" i="3"/>
  <c r="G1545" i="3"/>
  <c r="G648" i="3"/>
  <c r="G1070" i="3"/>
  <c r="G1125" i="3"/>
  <c r="G1260" i="3"/>
  <c r="G1308" i="3"/>
  <c r="G1364" i="3"/>
  <c r="G1412" i="3"/>
  <c r="G1460" i="3"/>
  <c r="G1516" i="3"/>
  <c r="G542" i="3"/>
  <c r="G628" i="3"/>
  <c r="G708" i="3"/>
  <c r="G772" i="3"/>
  <c r="G836" i="3"/>
  <c r="G900" i="3"/>
  <c r="G964" i="3"/>
  <c r="G1028" i="3"/>
  <c r="G1067" i="3"/>
  <c r="G1086" i="3"/>
  <c r="G1101" i="3"/>
  <c r="G1113" i="3"/>
  <c r="G1123" i="3"/>
  <c r="G1133" i="3"/>
  <c r="G1145" i="3"/>
  <c r="G1155" i="3"/>
  <c r="G1165" i="3"/>
  <c r="G1177" i="3"/>
  <c r="G1187" i="3"/>
  <c r="G1197" i="3"/>
  <c r="G1209" i="3"/>
  <c r="G1218" i="3"/>
  <c r="G1226" i="3"/>
  <c r="G1234" i="3"/>
  <c r="G1242" i="3"/>
  <c r="G1250" i="3"/>
  <c r="G1258" i="3"/>
  <c r="G1266" i="3"/>
  <c r="G1274" i="3"/>
  <c r="G1282" i="3"/>
  <c r="G1290" i="3"/>
  <c r="G1298" i="3"/>
  <c r="G1306" i="3"/>
  <c r="G1314" i="3"/>
  <c r="G1322" i="3"/>
  <c r="G1330" i="3"/>
  <c r="G1338" i="3"/>
  <c r="G1346" i="3"/>
  <c r="G1354" i="3"/>
  <c r="G1362" i="3"/>
  <c r="G1370" i="3"/>
  <c r="G1378" i="3"/>
  <c r="G1386" i="3"/>
  <c r="G1394" i="3"/>
  <c r="G1402" i="3"/>
  <c r="G1410" i="3"/>
  <c r="G1418" i="3"/>
  <c r="G1426" i="3"/>
  <c r="G1434" i="3"/>
  <c r="G1442" i="3"/>
  <c r="G1450" i="3"/>
  <c r="G1458" i="3"/>
  <c r="G1466" i="3"/>
  <c r="G1474" i="3"/>
  <c r="G1482" i="3"/>
  <c r="G1490" i="3"/>
  <c r="G1498" i="3"/>
  <c r="G1506" i="3"/>
  <c r="G1514" i="3"/>
  <c r="G1522" i="3"/>
  <c r="G1530" i="3"/>
  <c r="G1538" i="3"/>
  <c r="G1546" i="3"/>
  <c r="G564" i="3"/>
  <c r="G1044" i="3"/>
  <c r="G1105" i="3"/>
  <c r="G1169" i="3"/>
  <c r="G1201" i="3"/>
  <c r="G1244" i="3"/>
  <c r="G1292" i="3"/>
  <c r="G1348" i="3"/>
  <c r="G1388" i="3"/>
  <c r="G1444" i="3"/>
  <c r="G1500" i="3"/>
  <c r="G1540" i="3"/>
  <c r="G552" i="3"/>
  <c r="G638" i="3"/>
  <c r="G716" i="3"/>
  <c r="G780" i="3"/>
  <c r="G844" i="3"/>
  <c r="G908" i="3"/>
  <c r="G972" i="3"/>
  <c r="G1036" i="3"/>
  <c r="G1068" i="3"/>
  <c r="G1091" i="3"/>
  <c r="G1102" i="3"/>
  <c r="G1114" i="3"/>
  <c r="G1124" i="3"/>
  <c r="G1134" i="3"/>
  <c r="G1146" i="3"/>
  <c r="G1156" i="3"/>
  <c r="G1166" i="3"/>
  <c r="G1178" i="3"/>
  <c r="G1188" i="3"/>
  <c r="G1198" i="3"/>
  <c r="G1210" i="3"/>
  <c r="G1219" i="3"/>
  <c r="G1227" i="3"/>
  <c r="G1235" i="3"/>
  <c r="G1243" i="3"/>
  <c r="G1251" i="3"/>
  <c r="G1259" i="3"/>
  <c r="G1267" i="3"/>
  <c r="G1275" i="3"/>
  <c r="G1283" i="3"/>
  <c r="G1291" i="3"/>
  <c r="G1299" i="3"/>
  <c r="G1307" i="3"/>
  <c r="G1315" i="3"/>
  <c r="G1323" i="3"/>
  <c r="G1331" i="3"/>
  <c r="G1339" i="3"/>
  <c r="G1347" i="3"/>
  <c r="G1355" i="3"/>
  <c r="G1363" i="3"/>
  <c r="G1371" i="3"/>
  <c r="G1379" i="3"/>
  <c r="G1387" i="3"/>
  <c r="G1395" i="3"/>
  <c r="G1403" i="3"/>
  <c r="G1411" i="3"/>
  <c r="G1419" i="3"/>
  <c r="G1427" i="3"/>
  <c r="G1435" i="3"/>
  <c r="G1443" i="3"/>
  <c r="G1451" i="3"/>
  <c r="G1459" i="3"/>
  <c r="G1467" i="3"/>
  <c r="G1475" i="3"/>
  <c r="G1483" i="3"/>
  <c r="G1491" i="3"/>
  <c r="G1499" i="3"/>
  <c r="G1507" i="3"/>
  <c r="G1515" i="3"/>
  <c r="G1523" i="3"/>
  <c r="G1531" i="3"/>
  <c r="G1539" i="3"/>
  <c r="G2" i="3"/>
  <c r="G724" i="3"/>
  <c r="G1137" i="3"/>
  <c r="G1220" i="3"/>
  <c r="G1276" i="3"/>
  <c r="G1332" i="3"/>
  <c r="G1404" i="3"/>
  <c r="G1484" i="3"/>
  <c r="G574" i="3"/>
  <c r="G660" i="3"/>
  <c r="G732" i="3"/>
  <c r="G796" i="3"/>
  <c r="G860" i="3"/>
  <c r="G924" i="3"/>
  <c r="G988" i="3"/>
  <c r="G1046" i="3"/>
  <c r="G1075" i="3"/>
  <c r="G1094" i="3"/>
  <c r="G1106" i="3"/>
  <c r="G1116" i="3"/>
  <c r="G1126" i="3"/>
  <c r="G1138" i="3"/>
  <c r="G1148" i="3"/>
  <c r="G1158" i="3"/>
  <c r="G1170" i="3"/>
  <c r="G1180" i="3"/>
  <c r="G1190" i="3"/>
  <c r="G1202" i="3"/>
  <c r="G1212" i="3"/>
  <c r="G1221" i="3"/>
  <c r="G1229" i="3"/>
  <c r="G1237" i="3"/>
  <c r="G1245" i="3"/>
  <c r="G1253" i="3"/>
  <c r="G1261" i="3"/>
  <c r="G1269" i="3"/>
  <c r="G1277" i="3"/>
  <c r="G1285" i="3"/>
  <c r="G1293" i="3"/>
  <c r="G1301" i="3"/>
  <c r="G1309" i="3"/>
  <c r="G1317" i="3"/>
  <c r="G1325" i="3"/>
  <c r="G1333" i="3"/>
  <c r="G1341" i="3"/>
  <c r="G1349" i="3"/>
  <c r="G1357" i="3"/>
  <c r="G1365" i="3"/>
  <c r="G1373" i="3"/>
  <c r="G1381" i="3"/>
  <c r="G1389" i="3"/>
  <c r="G1397" i="3"/>
  <c r="G1405" i="3"/>
  <c r="G1413" i="3"/>
  <c r="G1421" i="3"/>
  <c r="G1429" i="3"/>
  <c r="G1437" i="3"/>
  <c r="G1445" i="3"/>
  <c r="G1453" i="3"/>
  <c r="G1461" i="3"/>
  <c r="G1469" i="3"/>
  <c r="G1477" i="3"/>
  <c r="G1485" i="3"/>
  <c r="G1493" i="3"/>
  <c r="G1501" i="3"/>
  <c r="G1509" i="3"/>
  <c r="G1517" i="3"/>
  <c r="G1525" i="3"/>
  <c r="G1533" i="3"/>
  <c r="G1541" i="3"/>
  <c r="G1228" i="3"/>
  <c r="G1356" i="3"/>
  <c r="G1420" i="3"/>
  <c r="G1452" i="3"/>
  <c r="G1508" i="3"/>
  <c r="J6" i="1" l="1"/>
  <c r="G6" i="1"/>
  <c r="M6" i="1"/>
  <c r="E6" i="1"/>
  <c r="I6" i="1"/>
  <c r="L6" i="1"/>
  <c r="N6" i="1"/>
  <c r="P6" i="1"/>
  <c r="H6" i="1"/>
  <c r="K6" i="1"/>
  <c r="O6" i="1"/>
  <c r="F6" i="1"/>
  <c r="I96" i="3"/>
  <c r="I111" i="3"/>
  <c r="I195" i="3"/>
  <c r="I81" i="3"/>
  <c r="I24" i="3"/>
  <c r="I69" i="3"/>
  <c r="I171" i="3"/>
  <c r="I9" i="3"/>
  <c r="I46" i="3"/>
  <c r="I16" i="3"/>
  <c r="I199" i="3"/>
  <c r="I187" i="3"/>
  <c r="I73" i="3"/>
  <c r="I118" i="3"/>
  <c r="I175" i="3"/>
  <c r="I31" i="3"/>
  <c r="I103" i="3"/>
  <c r="I88" i="3"/>
  <c r="G1547" i="3"/>
  <c r="W8" i="1"/>
  <c r="Y8" i="1"/>
  <c r="L8" i="1"/>
  <c r="C25" i="1"/>
  <c r="B11" i="1"/>
  <c r="B12" i="1"/>
  <c r="B13" i="1"/>
  <c r="B14" i="1"/>
  <c r="P12" i="1"/>
  <c r="O12" i="1"/>
  <c r="N12" i="1"/>
  <c r="M12" i="1"/>
  <c r="L12" i="1"/>
  <c r="K12" i="1"/>
  <c r="J12" i="1"/>
  <c r="P13" i="1"/>
  <c r="O13" i="1"/>
  <c r="N13" i="1"/>
  <c r="M13" i="1"/>
  <c r="L13" i="1"/>
  <c r="K13" i="1"/>
  <c r="J13" i="1"/>
  <c r="I13" i="1"/>
  <c r="H13" i="1"/>
  <c r="G13" i="1"/>
  <c r="F13" i="1"/>
  <c r="P14" i="1"/>
  <c r="O14" i="1"/>
  <c r="N14" i="1"/>
  <c r="M14" i="1"/>
  <c r="L14" i="1"/>
  <c r="K14" i="1"/>
  <c r="I14" i="1"/>
  <c r="H14" i="1"/>
  <c r="F14" i="1"/>
  <c r="E14" i="1"/>
  <c r="E13" i="1"/>
  <c r="P9" i="1"/>
  <c r="O9" i="1"/>
  <c r="N9" i="1"/>
  <c r="M9" i="1"/>
  <c r="L9" i="1"/>
  <c r="K9" i="1"/>
  <c r="J9" i="1"/>
  <c r="I9" i="1"/>
  <c r="H9" i="1"/>
  <c r="G9" i="1"/>
  <c r="P5" i="1"/>
  <c r="O5" i="1"/>
  <c r="N5" i="1"/>
  <c r="M5" i="1"/>
  <c r="L5" i="1"/>
  <c r="K5" i="1"/>
  <c r="J5" i="1"/>
  <c r="I5" i="1"/>
  <c r="H5" i="1"/>
  <c r="G5" i="1"/>
  <c r="F5" i="1"/>
  <c r="P4" i="1"/>
  <c r="O4" i="1"/>
  <c r="N4" i="1"/>
  <c r="M4" i="1"/>
  <c r="L4" i="1"/>
  <c r="K4" i="1"/>
  <c r="J4" i="1"/>
  <c r="I4" i="1"/>
  <c r="H4" i="1"/>
  <c r="J14" i="1"/>
  <c r="I12" i="1"/>
  <c r="H12" i="1"/>
  <c r="E5" i="1"/>
  <c r="G12" i="1"/>
  <c r="C5" i="1" l="1"/>
  <c r="C6" i="1"/>
  <c r="I1547" i="3"/>
  <c r="P18" i="12"/>
  <c r="P17" i="12" s="1"/>
  <c r="Z8" i="1"/>
  <c r="P8" i="1"/>
  <c r="M8" i="1"/>
  <c r="N8" i="1"/>
  <c r="K8" i="1"/>
  <c r="U8" i="1"/>
  <c r="T8" i="1"/>
  <c r="AA8" i="1"/>
  <c r="S8" i="1"/>
  <c r="R8" i="1"/>
  <c r="Q8" i="1"/>
  <c r="X8" i="1"/>
  <c r="O8" i="1"/>
  <c r="V8" i="1"/>
  <c r="C13" i="1"/>
  <c r="I8" i="1"/>
  <c r="J8" i="1"/>
  <c r="F8" i="1"/>
  <c r="H8" i="1"/>
  <c r="G14" i="1"/>
  <c r="C14" i="1" s="1"/>
  <c r="F12" i="1"/>
  <c r="E9" i="1"/>
  <c r="E12" i="1"/>
  <c r="F25" i="1" l="1"/>
  <c r="P11" i="12"/>
  <c r="P12" i="12"/>
  <c r="P10" i="12"/>
  <c r="C12" i="1"/>
  <c r="AS6" i="1" l="1"/>
  <c r="P23" i="12"/>
  <c r="Q23" i="12" s="1"/>
  <c r="J12" i="12"/>
  <c r="J13" i="12" s="1"/>
  <c r="F28" i="1"/>
  <c r="C4" i="7"/>
  <c r="C5" i="7"/>
  <c r="C3" i="7" l="1"/>
  <c r="C2" i="7"/>
  <c r="C6" i="7" l="1"/>
  <c r="F2" i="7" l="1"/>
  <c r="V2" i="7"/>
  <c r="AL2" i="7"/>
  <c r="AP5" i="7"/>
  <c r="AQ5" i="7" s="1"/>
  <c r="AD4" i="7"/>
  <c r="AE4" i="7" s="1"/>
  <c r="F3" i="7"/>
  <c r="G3" i="7" s="1"/>
  <c r="AP4" i="7"/>
  <c r="AQ4" i="7" s="1"/>
  <c r="R7" i="7"/>
  <c r="S7" i="7" s="1"/>
  <c r="V3" i="7"/>
  <c r="W3" i="7" s="1"/>
  <c r="AN4" i="7"/>
  <c r="AO4" i="7" s="1"/>
  <c r="AL7" i="7"/>
  <c r="AM7" i="7" s="1"/>
  <c r="AL3" i="7"/>
  <c r="AM3" i="7" s="1"/>
  <c r="AR7" i="7"/>
  <c r="AS7" i="7" s="1"/>
  <c r="T4" i="7"/>
  <c r="U4" i="7" s="1"/>
  <c r="D5" i="7"/>
  <c r="E5" i="7" s="1"/>
  <c r="D7" i="7"/>
  <c r="E7" i="7" s="1"/>
  <c r="N7" i="7"/>
  <c r="O7" i="7" s="1"/>
  <c r="H2" i="7"/>
  <c r="AN2" i="7"/>
  <c r="H3" i="7"/>
  <c r="I3" i="7" s="1"/>
  <c r="AN3" i="7"/>
  <c r="AO3" i="7" s="1"/>
  <c r="D4" i="7"/>
  <c r="E4" i="7" s="1"/>
  <c r="N4" i="7"/>
  <c r="O4" i="7" s="1"/>
  <c r="J4" i="7"/>
  <c r="K4" i="7" s="1"/>
  <c r="AR5" i="7"/>
  <c r="AS5" i="7" s="1"/>
  <c r="AJ7" i="7"/>
  <c r="AK7" i="7" s="1"/>
  <c r="AD7" i="7"/>
  <c r="AE7" i="7" s="1"/>
  <c r="Z2" i="7"/>
  <c r="J5" i="7"/>
  <c r="K5" i="7" s="1"/>
  <c r="Z3" i="7"/>
  <c r="AA3" i="7" s="1"/>
  <c r="X5" i="7"/>
  <c r="Y5" i="7" s="1"/>
  <c r="X4" i="7"/>
  <c r="Y4" i="7" s="1"/>
  <c r="P5" i="7"/>
  <c r="Q5" i="7" s="1"/>
  <c r="AB5" i="7"/>
  <c r="AC5" i="7" s="1"/>
  <c r="F4" i="7"/>
  <c r="G4" i="7" s="1"/>
  <c r="AN7" i="7"/>
  <c r="AO7" i="7" s="1"/>
  <c r="J7" i="7"/>
  <c r="K7" i="7" s="1"/>
  <c r="AT7" i="7"/>
  <c r="AU7" i="7" s="1"/>
  <c r="L2" i="7"/>
  <c r="AB2" i="7"/>
  <c r="AR2" i="7"/>
  <c r="L3" i="7"/>
  <c r="M3" i="7" s="1"/>
  <c r="AB3" i="7"/>
  <c r="AC3" i="7" s="1"/>
  <c r="AR3" i="7"/>
  <c r="AS3" i="7" s="1"/>
  <c r="H5" i="7"/>
  <c r="I5" i="7" s="1"/>
  <c r="AF4" i="7"/>
  <c r="AG4" i="7" s="1"/>
  <c r="AF5" i="7"/>
  <c r="AG5" i="7" s="1"/>
  <c r="AT4" i="7"/>
  <c r="AU4" i="7" s="1"/>
  <c r="Z4" i="7"/>
  <c r="AA4" i="7" s="1"/>
  <c r="H4" i="7"/>
  <c r="I4" i="7" s="1"/>
  <c r="H7" i="7"/>
  <c r="I7" i="7" s="1"/>
  <c r="X2" i="7"/>
  <c r="Z5" i="7"/>
  <c r="AA5" i="7" s="1"/>
  <c r="X3" i="7"/>
  <c r="Y3" i="7" s="1"/>
  <c r="AN5" i="7"/>
  <c r="AO5" i="7" s="1"/>
  <c r="T5" i="7"/>
  <c r="U5" i="7" s="1"/>
  <c r="AT5" i="7"/>
  <c r="AU5" i="7" s="1"/>
  <c r="AV5" i="7"/>
  <c r="AW5" i="7" s="1"/>
  <c r="AL4" i="7"/>
  <c r="AM4" i="7" s="1"/>
  <c r="X7" i="7"/>
  <c r="Y7" i="7" s="1"/>
  <c r="J2" i="7"/>
  <c r="AP2" i="7"/>
  <c r="J3" i="7"/>
  <c r="K3" i="7" s="1"/>
  <c r="AP3" i="7"/>
  <c r="AQ3" i="7" s="1"/>
  <c r="AD5" i="7"/>
  <c r="AE5" i="7" s="1"/>
  <c r="P4" i="7"/>
  <c r="Q4" i="7" s="1"/>
  <c r="N5" i="7"/>
  <c r="O5" i="7" s="1"/>
  <c r="L5" i="7"/>
  <c r="M5" i="7" s="1"/>
  <c r="AH7" i="7"/>
  <c r="AI7" i="7" s="1"/>
  <c r="Z7" i="7"/>
  <c r="AA7" i="7" s="1"/>
  <c r="P7" i="7"/>
  <c r="Q7" i="7" s="1"/>
  <c r="N2" i="7"/>
  <c r="AD2" i="7"/>
  <c r="AT2" i="7"/>
  <c r="N3" i="7"/>
  <c r="O3" i="7" s="1"/>
  <c r="AD3" i="7"/>
  <c r="AE3" i="7" s="1"/>
  <c r="AT3" i="7"/>
  <c r="AU3" i="7" s="1"/>
  <c r="AV6" i="7"/>
  <c r="AW6" i="7" s="1"/>
  <c r="AT6" i="7"/>
  <c r="AU6" i="7" s="1"/>
  <c r="AR6" i="7"/>
  <c r="AS6" i="7" s="1"/>
  <c r="AP6" i="7"/>
  <c r="AQ6" i="7" s="1"/>
  <c r="AN6" i="7"/>
  <c r="AO6" i="7" s="1"/>
  <c r="AL6" i="7"/>
  <c r="AM6" i="7" s="1"/>
  <c r="AJ6" i="7"/>
  <c r="AK6" i="7" s="1"/>
  <c r="AH6" i="7"/>
  <c r="AI6" i="7" s="1"/>
  <c r="AF6" i="7"/>
  <c r="AG6" i="7" s="1"/>
  <c r="AD6" i="7"/>
  <c r="AE6" i="7" s="1"/>
  <c r="AB6" i="7"/>
  <c r="AC6" i="7" s="1"/>
  <c r="Z6" i="7"/>
  <c r="AA6" i="7" s="1"/>
  <c r="X6" i="7"/>
  <c r="Y6" i="7" s="1"/>
  <c r="V6" i="7"/>
  <c r="W6" i="7" s="1"/>
  <c r="T6" i="7"/>
  <c r="U6" i="7" s="1"/>
  <c r="R6" i="7"/>
  <c r="S6" i="7" s="1"/>
  <c r="P6" i="7"/>
  <c r="Q6" i="7" s="1"/>
  <c r="N6" i="7"/>
  <c r="O6" i="7" s="1"/>
  <c r="L6" i="7"/>
  <c r="M6" i="7" s="1"/>
  <c r="J6" i="7"/>
  <c r="K6" i="7" s="1"/>
  <c r="H6" i="7"/>
  <c r="I6" i="7" s="1"/>
  <c r="F6" i="7"/>
  <c r="G6" i="7" s="1"/>
  <c r="D6" i="7"/>
  <c r="E6" i="7" s="1"/>
  <c r="V5" i="7"/>
  <c r="W5" i="7" s="1"/>
  <c r="R5" i="7"/>
  <c r="S5" i="7" s="1"/>
  <c r="L4" i="7"/>
  <c r="M4" i="7" s="1"/>
  <c r="AJ5" i="7"/>
  <c r="AK5" i="7" s="1"/>
  <c r="F7" i="7"/>
  <c r="G7" i="7" s="1"/>
  <c r="L7" i="7"/>
  <c r="M7" i="7" s="1"/>
  <c r="AV7" i="7"/>
  <c r="AW7" i="7" s="1"/>
  <c r="R2" i="7"/>
  <c r="AH2" i="7"/>
  <c r="R3" i="7"/>
  <c r="S3" i="7" s="1"/>
  <c r="AH3" i="7"/>
  <c r="AI3" i="7" s="1"/>
  <c r="AB4" i="7"/>
  <c r="AC4" i="7" s="1"/>
  <c r="V4" i="7"/>
  <c r="W4" i="7" s="1"/>
  <c r="AR4" i="7"/>
  <c r="AS4" i="7" s="1"/>
  <c r="T7" i="7"/>
  <c r="U7" i="7" s="1"/>
  <c r="AP7" i="7"/>
  <c r="AQ7" i="7" s="1"/>
  <c r="AF7" i="7"/>
  <c r="AG7" i="7" s="1"/>
  <c r="P2" i="7"/>
  <c r="AF2" i="7"/>
  <c r="S7" i="1" s="1"/>
  <c r="AV2" i="7"/>
  <c r="AL5" i="7"/>
  <c r="AM5" i="7" s="1"/>
  <c r="P3" i="7"/>
  <c r="Q3" i="7" s="1"/>
  <c r="AF3" i="7"/>
  <c r="AG3" i="7" s="1"/>
  <c r="AV3" i="7"/>
  <c r="AW3" i="7" s="1"/>
  <c r="F5" i="7"/>
  <c r="G5" i="7" s="1"/>
  <c r="AH5" i="7"/>
  <c r="AI5" i="7" s="1"/>
  <c r="AH4" i="7"/>
  <c r="AI4" i="7" s="1"/>
  <c r="AV4" i="7"/>
  <c r="AW4" i="7" s="1"/>
  <c r="V7" i="7"/>
  <c r="W7" i="7" s="1"/>
  <c r="AB7" i="7"/>
  <c r="AC7" i="7" s="1"/>
  <c r="D2" i="7"/>
  <c r="T2" i="7"/>
  <c r="AJ2" i="7"/>
  <c r="D3" i="7"/>
  <c r="T3" i="7"/>
  <c r="U3" i="7" s="1"/>
  <c r="AJ3" i="7"/>
  <c r="AK3" i="7" s="1"/>
  <c r="AJ4" i="7"/>
  <c r="AK4" i="7" s="1"/>
  <c r="R4" i="7"/>
  <c r="S4" i="7" s="1"/>
  <c r="C8" i="7"/>
  <c r="J7" i="1" l="1"/>
  <c r="K7" i="1"/>
  <c r="K10" i="1" s="1"/>
  <c r="I7" i="1"/>
  <c r="I10" i="1" s="1"/>
  <c r="H7" i="1"/>
  <c r="L7" i="1"/>
  <c r="O7" i="1"/>
  <c r="O10" i="1" s="1"/>
  <c r="P7" i="1"/>
  <c r="P10" i="1" s="1"/>
  <c r="Q7" i="1"/>
  <c r="M7" i="1"/>
  <c r="M10" i="1" s="1"/>
  <c r="E2" i="7"/>
  <c r="E7" i="1"/>
  <c r="G7" i="1"/>
  <c r="N7" i="1"/>
  <c r="R7" i="1"/>
  <c r="R10" i="1" s="1"/>
  <c r="F7" i="1"/>
  <c r="G2" i="7"/>
  <c r="F8" i="7"/>
  <c r="AL8" i="7"/>
  <c r="AM2" i="7"/>
  <c r="AN8" i="7"/>
  <c r="AO2" i="7"/>
  <c r="M2" i="7"/>
  <c r="L8" i="7"/>
  <c r="AS2" i="7"/>
  <c r="AR8" i="7"/>
  <c r="AV8" i="7"/>
  <c r="AW2" i="7"/>
  <c r="U2" i="7"/>
  <c r="T8" i="7"/>
  <c r="AF8" i="7"/>
  <c r="AG2" i="7"/>
  <c r="P8" i="7"/>
  <c r="Q2" i="7"/>
  <c r="R8" i="7"/>
  <c r="S2" i="7"/>
  <c r="AD8" i="7"/>
  <c r="AE2" i="7"/>
  <c r="AP8" i="7"/>
  <c r="AQ2" i="7"/>
  <c r="AH8" i="7"/>
  <c r="AI2" i="7"/>
  <c r="AT8" i="7"/>
  <c r="AU2" i="7"/>
  <c r="Z8" i="7"/>
  <c r="AA2" i="7"/>
  <c r="X8" i="7"/>
  <c r="Y2" i="7"/>
  <c r="N8" i="7"/>
  <c r="O2" i="7"/>
  <c r="D8" i="7"/>
  <c r="J8" i="7"/>
  <c r="K2" i="7"/>
  <c r="AK2" i="7"/>
  <c r="AJ8" i="7"/>
  <c r="AC2" i="7"/>
  <c r="AB8" i="7"/>
  <c r="H8" i="7"/>
  <c r="I2" i="7"/>
  <c r="V8" i="7"/>
  <c r="W2" i="7"/>
  <c r="Y7" i="1"/>
  <c r="Y10" i="1" s="1"/>
  <c r="S10" i="1"/>
  <c r="X7" i="1"/>
  <c r="X10" i="1" s="1"/>
  <c r="T7" i="1"/>
  <c r="T10" i="1" s="1"/>
  <c r="N10" i="1"/>
  <c r="H10" i="1"/>
  <c r="J10" i="1"/>
  <c r="Q10" i="1"/>
  <c r="AA7" i="1"/>
  <c r="AA10" i="1" s="1"/>
  <c r="V7" i="1"/>
  <c r="V10" i="1" s="1"/>
  <c r="W7" i="1"/>
  <c r="W10" i="1" s="1"/>
  <c r="U7" i="1"/>
  <c r="U10" i="1" s="1"/>
  <c r="Z7" i="1"/>
  <c r="Z10" i="1" s="1"/>
  <c r="L10" i="1"/>
  <c r="E3" i="7"/>
  <c r="C7" i="1" l="1"/>
  <c r="AY8" i="7"/>
  <c r="D8" i="5"/>
  <c r="D17" i="5"/>
  <c r="D18" i="5"/>
  <c r="D13" i="5"/>
  <c r="D14" i="5"/>
  <c r="D15" i="5"/>
  <c r="D16" i="5"/>
  <c r="M17" i="5"/>
  <c r="M18" i="5"/>
  <c r="M13" i="5"/>
  <c r="M14" i="5"/>
  <c r="M15" i="5"/>
  <c r="M16" i="5"/>
  <c r="F17" i="5"/>
  <c r="F18" i="5"/>
  <c r="F13" i="5"/>
  <c r="F14" i="5"/>
  <c r="F15" i="5"/>
  <c r="F16" i="5"/>
  <c r="P17" i="5"/>
  <c r="P18" i="5"/>
  <c r="P13" i="5"/>
  <c r="P14" i="5"/>
  <c r="P15" i="5"/>
  <c r="P16" i="5"/>
  <c r="T17" i="5"/>
  <c r="T18" i="5"/>
  <c r="T13" i="5"/>
  <c r="T14" i="5"/>
  <c r="T15" i="5"/>
  <c r="T16" i="5"/>
  <c r="G17" i="5"/>
  <c r="G18" i="5"/>
  <c r="G13" i="5"/>
  <c r="G14" i="5"/>
  <c r="G15" i="5"/>
  <c r="G16" i="5"/>
  <c r="I17" i="5"/>
  <c r="I18" i="5"/>
  <c r="I13" i="5"/>
  <c r="I14" i="5"/>
  <c r="I15" i="5"/>
  <c r="I16" i="5"/>
  <c r="N17" i="5"/>
  <c r="N18" i="5"/>
  <c r="N13" i="5"/>
  <c r="N14" i="5"/>
  <c r="N15" i="5"/>
  <c r="N16" i="5"/>
  <c r="O17" i="5"/>
  <c r="O18" i="5"/>
  <c r="O13" i="5"/>
  <c r="O14" i="5"/>
  <c r="O15" i="5"/>
  <c r="O16" i="5"/>
  <c r="Y17" i="5"/>
  <c r="Y18" i="5"/>
  <c r="Y13" i="5"/>
  <c r="Y14" i="5"/>
  <c r="Y15" i="5"/>
  <c r="Y16" i="5"/>
  <c r="S17" i="5"/>
  <c r="S18" i="5"/>
  <c r="S13" i="5"/>
  <c r="S14" i="5"/>
  <c r="S15" i="5"/>
  <c r="S16" i="5"/>
  <c r="W17" i="5"/>
  <c r="W18" i="5"/>
  <c r="W13" i="5"/>
  <c r="W14" i="5"/>
  <c r="W15" i="5"/>
  <c r="W16" i="5"/>
  <c r="Q17" i="5"/>
  <c r="Q18" i="5"/>
  <c r="Q13" i="5"/>
  <c r="Q14" i="5"/>
  <c r="Q15" i="5"/>
  <c r="Q16" i="5"/>
  <c r="K17" i="5"/>
  <c r="K18" i="5"/>
  <c r="K13" i="5"/>
  <c r="K14" i="5"/>
  <c r="K15" i="5"/>
  <c r="K16" i="5"/>
  <c r="J17" i="5"/>
  <c r="J18" i="5"/>
  <c r="J13" i="5"/>
  <c r="J14" i="5"/>
  <c r="J15" i="5"/>
  <c r="J16" i="5"/>
  <c r="R17" i="5"/>
  <c r="R18" i="5"/>
  <c r="R13" i="5"/>
  <c r="R14" i="5"/>
  <c r="R15" i="5"/>
  <c r="R16" i="5"/>
  <c r="L17" i="5"/>
  <c r="L18" i="5"/>
  <c r="L13" i="5"/>
  <c r="L14" i="5"/>
  <c r="L15" i="5"/>
  <c r="L16" i="5"/>
  <c r="Z17" i="5"/>
  <c r="Z18" i="5"/>
  <c r="Z13" i="5"/>
  <c r="Z14" i="5"/>
  <c r="Z15" i="5"/>
  <c r="Z16" i="5"/>
  <c r="X17" i="5"/>
  <c r="X18" i="5"/>
  <c r="X13" i="5"/>
  <c r="X14" i="5"/>
  <c r="X15" i="5"/>
  <c r="X16" i="5"/>
  <c r="H17" i="5"/>
  <c r="H18" i="5"/>
  <c r="H13" i="5"/>
  <c r="H14" i="5"/>
  <c r="H15" i="5"/>
  <c r="H16" i="5"/>
  <c r="V17" i="5"/>
  <c r="V18" i="5"/>
  <c r="V13" i="5"/>
  <c r="V14" i="5"/>
  <c r="V15" i="5"/>
  <c r="V16" i="5"/>
  <c r="U17" i="5"/>
  <c r="U18" i="5"/>
  <c r="U13" i="5"/>
  <c r="U14" i="5"/>
  <c r="U15" i="5"/>
  <c r="U16" i="5"/>
  <c r="E17" i="5"/>
  <c r="E18" i="5"/>
  <c r="E13" i="5"/>
  <c r="E14" i="5"/>
  <c r="E15" i="5"/>
  <c r="E16" i="5"/>
  <c r="D9" i="5"/>
  <c r="D12" i="5"/>
  <c r="D3" i="5"/>
  <c r="D20" i="5"/>
  <c r="D4" i="5"/>
  <c r="D7" i="5"/>
  <c r="D11" i="5"/>
  <c r="D19" i="5"/>
  <c r="D10" i="5"/>
  <c r="D6" i="5"/>
  <c r="D2" i="5"/>
  <c r="D21" i="5"/>
  <c r="D5" i="5"/>
  <c r="AI8" i="7"/>
  <c r="S9" i="5"/>
  <c r="S2" i="5"/>
  <c r="S3" i="5"/>
  <c r="S11" i="5"/>
  <c r="S4" i="5"/>
  <c r="S12" i="5"/>
  <c r="S5" i="5"/>
  <c r="S10" i="5"/>
  <c r="S6" i="5"/>
  <c r="S19" i="5"/>
  <c r="S7" i="5"/>
  <c r="S20" i="5"/>
  <c r="S8" i="5"/>
  <c r="S21" i="5"/>
  <c r="AS8" i="7"/>
  <c r="X4" i="5"/>
  <c r="X12" i="5"/>
  <c r="X6" i="5"/>
  <c r="X19" i="5"/>
  <c r="X7" i="5"/>
  <c r="X20" i="5"/>
  <c r="X8" i="5"/>
  <c r="X21" i="5"/>
  <c r="X5" i="5"/>
  <c r="X9" i="5"/>
  <c r="X2" i="5"/>
  <c r="X10" i="5"/>
  <c r="X3" i="5"/>
  <c r="X11" i="5"/>
  <c r="G8" i="7"/>
  <c r="E7" i="5"/>
  <c r="E20" i="5"/>
  <c r="E9" i="5"/>
  <c r="E2" i="5"/>
  <c r="E10" i="5"/>
  <c r="E3" i="5"/>
  <c r="E11" i="5"/>
  <c r="E4" i="5"/>
  <c r="E12" i="5"/>
  <c r="E21" i="5"/>
  <c r="E5" i="5"/>
  <c r="E6" i="5"/>
  <c r="E19" i="5"/>
  <c r="E8" i="5"/>
  <c r="AC8" i="7"/>
  <c r="P4" i="5"/>
  <c r="P12" i="5"/>
  <c r="P6" i="5"/>
  <c r="P19" i="5"/>
  <c r="P7" i="5"/>
  <c r="P20" i="5"/>
  <c r="P8" i="5"/>
  <c r="P21" i="5"/>
  <c r="P5" i="5"/>
  <c r="P9" i="5"/>
  <c r="P2" i="5"/>
  <c r="P10" i="5"/>
  <c r="P3" i="5"/>
  <c r="P11" i="5"/>
  <c r="Y8" i="7"/>
  <c r="N6" i="5"/>
  <c r="N19" i="5"/>
  <c r="N7" i="5"/>
  <c r="N8" i="5"/>
  <c r="N21" i="5"/>
  <c r="N9" i="5"/>
  <c r="N2" i="5"/>
  <c r="N10" i="5"/>
  <c r="N20" i="5"/>
  <c r="N3" i="5"/>
  <c r="N11" i="5"/>
  <c r="N4" i="5"/>
  <c r="N12" i="5"/>
  <c r="N5" i="5"/>
  <c r="AQ8" i="7"/>
  <c r="W5" i="5"/>
  <c r="W6" i="5"/>
  <c r="W19" i="5"/>
  <c r="W7" i="5"/>
  <c r="W20" i="5"/>
  <c r="W8" i="5"/>
  <c r="W21" i="5"/>
  <c r="W9" i="5"/>
  <c r="W2" i="5"/>
  <c r="W10" i="5"/>
  <c r="W3" i="5"/>
  <c r="W11" i="5"/>
  <c r="W4" i="5"/>
  <c r="W12" i="5"/>
  <c r="AG8" i="7"/>
  <c r="R2" i="5"/>
  <c r="R10" i="5"/>
  <c r="R4" i="5"/>
  <c r="R12" i="5"/>
  <c r="R5" i="5"/>
  <c r="R6" i="5"/>
  <c r="R19" i="5"/>
  <c r="R7" i="5"/>
  <c r="R20" i="5"/>
  <c r="R11" i="5"/>
  <c r="R8" i="5"/>
  <c r="R21" i="5"/>
  <c r="R9" i="5"/>
  <c r="R3" i="5"/>
  <c r="Q8" i="7"/>
  <c r="J2" i="5"/>
  <c r="J10" i="5"/>
  <c r="J4" i="5"/>
  <c r="J12" i="5"/>
  <c r="J5" i="5"/>
  <c r="J6" i="5"/>
  <c r="J19" i="5"/>
  <c r="J7" i="5"/>
  <c r="J20" i="5"/>
  <c r="J3" i="5"/>
  <c r="J8" i="5"/>
  <c r="J21" i="5"/>
  <c r="J9" i="5"/>
  <c r="J11" i="5"/>
  <c r="M8" i="7"/>
  <c r="H4" i="5"/>
  <c r="H12" i="5"/>
  <c r="H6" i="5"/>
  <c r="H19" i="5"/>
  <c r="H7" i="5"/>
  <c r="H20" i="5"/>
  <c r="H8" i="5"/>
  <c r="H21" i="5"/>
  <c r="H5" i="5"/>
  <c r="H9" i="5"/>
  <c r="H2" i="5"/>
  <c r="H10" i="5"/>
  <c r="H3" i="5"/>
  <c r="H11" i="5"/>
  <c r="AA8" i="7"/>
  <c r="O5" i="5"/>
  <c r="O7" i="5"/>
  <c r="O20" i="5"/>
  <c r="O8" i="5"/>
  <c r="O21" i="5"/>
  <c r="O9" i="5"/>
  <c r="O2" i="5"/>
  <c r="O10" i="5"/>
  <c r="O3" i="5"/>
  <c r="O11" i="5"/>
  <c r="O19" i="5"/>
  <c r="O4" i="5"/>
  <c r="O12" i="5"/>
  <c r="O6" i="5"/>
  <c r="AO8" i="7"/>
  <c r="V6" i="5"/>
  <c r="V19" i="5"/>
  <c r="V20" i="5"/>
  <c r="V8" i="5"/>
  <c r="V21" i="5"/>
  <c r="V9" i="5"/>
  <c r="V2" i="5"/>
  <c r="V10" i="5"/>
  <c r="V3" i="5"/>
  <c r="V11" i="5"/>
  <c r="V4" i="5"/>
  <c r="V12" i="5"/>
  <c r="V7" i="5"/>
  <c r="V5" i="5"/>
  <c r="AK8" i="7"/>
  <c r="T8" i="5"/>
  <c r="T21" i="5"/>
  <c r="T2" i="5"/>
  <c r="T10" i="5"/>
  <c r="T3" i="5"/>
  <c r="T11" i="5"/>
  <c r="T4" i="5"/>
  <c r="T12" i="5"/>
  <c r="T5" i="5"/>
  <c r="T6" i="5"/>
  <c r="T19" i="5"/>
  <c r="T9" i="5"/>
  <c r="T7" i="5"/>
  <c r="T20" i="5"/>
  <c r="AE8" i="7"/>
  <c r="Q3" i="5"/>
  <c r="Q11" i="5"/>
  <c r="Q12" i="5"/>
  <c r="Q5" i="5"/>
  <c r="Q6" i="5"/>
  <c r="Q19" i="5"/>
  <c r="Q7" i="5"/>
  <c r="Q20" i="5"/>
  <c r="Q8" i="5"/>
  <c r="Q21" i="5"/>
  <c r="Q9" i="5"/>
  <c r="Q4" i="5"/>
  <c r="Q2" i="5"/>
  <c r="Q10" i="5"/>
  <c r="W8" i="7"/>
  <c r="M7" i="5"/>
  <c r="M20" i="5"/>
  <c r="M9" i="5"/>
  <c r="M2" i="5"/>
  <c r="M10" i="5"/>
  <c r="M3" i="5"/>
  <c r="M11" i="5"/>
  <c r="M4" i="5"/>
  <c r="M12" i="5"/>
  <c r="M21" i="5"/>
  <c r="M5" i="5"/>
  <c r="M6" i="5"/>
  <c r="M19" i="5"/>
  <c r="M8" i="5"/>
  <c r="K8" i="7"/>
  <c r="G5" i="5"/>
  <c r="G7" i="5"/>
  <c r="G20" i="5"/>
  <c r="G8" i="5"/>
  <c r="G21" i="5"/>
  <c r="G9" i="5"/>
  <c r="G2" i="5"/>
  <c r="G10" i="5"/>
  <c r="G3" i="5"/>
  <c r="G11" i="5"/>
  <c r="G19" i="5"/>
  <c r="G4" i="5"/>
  <c r="G12" i="5"/>
  <c r="G6" i="5"/>
  <c r="U8" i="7"/>
  <c r="L8" i="5"/>
  <c r="L21" i="5"/>
  <c r="L2" i="5"/>
  <c r="L10" i="5"/>
  <c r="L3" i="5"/>
  <c r="L11" i="5"/>
  <c r="L4" i="5"/>
  <c r="L12" i="5"/>
  <c r="L5" i="5"/>
  <c r="L6" i="5"/>
  <c r="L19" i="5"/>
  <c r="L9" i="5"/>
  <c r="L7" i="5"/>
  <c r="L20" i="5"/>
  <c r="AU8" i="7"/>
  <c r="Y3" i="5"/>
  <c r="Y11" i="5"/>
  <c r="Y5" i="5"/>
  <c r="Y6" i="5"/>
  <c r="Y19" i="5"/>
  <c r="Y7" i="5"/>
  <c r="Y20" i="5"/>
  <c r="Y8" i="5"/>
  <c r="Y21" i="5"/>
  <c r="Y12" i="5"/>
  <c r="Y9" i="5"/>
  <c r="Y2" i="5"/>
  <c r="Y10" i="5"/>
  <c r="Y4" i="5"/>
  <c r="S8" i="7"/>
  <c r="K9" i="5"/>
  <c r="K2" i="5"/>
  <c r="K3" i="5"/>
  <c r="K11" i="5"/>
  <c r="K4" i="5"/>
  <c r="K12" i="5"/>
  <c r="K5" i="5"/>
  <c r="K10" i="5"/>
  <c r="K6" i="5"/>
  <c r="K19" i="5"/>
  <c r="K7" i="5"/>
  <c r="K20" i="5"/>
  <c r="K8" i="5"/>
  <c r="K21" i="5"/>
  <c r="AW8" i="7"/>
  <c r="Z2" i="5"/>
  <c r="Z10" i="5"/>
  <c r="Z3" i="5"/>
  <c r="Z4" i="5"/>
  <c r="Z12" i="5"/>
  <c r="Z5" i="5"/>
  <c r="Z6" i="5"/>
  <c r="Z19" i="5"/>
  <c r="Z7" i="5"/>
  <c r="Z20" i="5"/>
  <c r="Z8" i="5"/>
  <c r="Z21" i="5"/>
  <c r="Z11" i="5"/>
  <c r="Z9" i="5"/>
  <c r="AM8" i="7"/>
  <c r="U7" i="5"/>
  <c r="U20" i="5"/>
  <c r="U9" i="5"/>
  <c r="U2" i="5"/>
  <c r="U10" i="5"/>
  <c r="U3" i="5"/>
  <c r="U11" i="5"/>
  <c r="U4" i="5"/>
  <c r="U12" i="5"/>
  <c r="U8" i="5"/>
  <c r="U5" i="5"/>
  <c r="U6" i="5"/>
  <c r="U19" i="5"/>
  <c r="U21" i="5"/>
  <c r="I8" i="7"/>
  <c r="F6" i="5"/>
  <c r="F19" i="5"/>
  <c r="F7" i="5"/>
  <c r="F8" i="5"/>
  <c r="F21" i="5"/>
  <c r="F9" i="5"/>
  <c r="F2" i="5"/>
  <c r="F10" i="5"/>
  <c r="F20" i="5"/>
  <c r="F3" i="5"/>
  <c r="F11" i="5"/>
  <c r="F4" i="5"/>
  <c r="F12" i="5"/>
  <c r="F5" i="5"/>
  <c r="O8" i="7"/>
  <c r="I3" i="5"/>
  <c r="I11" i="5"/>
  <c r="I12" i="5"/>
  <c r="I5" i="5"/>
  <c r="I6" i="5"/>
  <c r="I19" i="5"/>
  <c r="I7" i="5"/>
  <c r="I20" i="5"/>
  <c r="I8" i="5"/>
  <c r="I21" i="5"/>
  <c r="I9" i="5"/>
  <c r="I4" i="5"/>
  <c r="I2" i="5"/>
  <c r="I10" i="5"/>
  <c r="E8" i="7"/>
  <c r="N11" i="1" l="1"/>
  <c r="P11" i="1"/>
  <c r="E11" i="1"/>
  <c r="M11" i="1"/>
  <c r="G11" i="1"/>
  <c r="I11" i="1"/>
  <c r="S11" i="1"/>
  <c r="O11" i="1"/>
  <c r="K11" i="1"/>
  <c r="F11" i="1"/>
  <c r="H11" i="1"/>
  <c r="R11" i="1"/>
  <c r="J11" i="1"/>
  <c r="Q11" i="1"/>
  <c r="AS7" i="1"/>
  <c r="C16" i="5"/>
  <c r="C15" i="5"/>
  <c r="C14" i="5"/>
  <c r="C13" i="5"/>
  <c r="C18" i="5"/>
  <c r="C17" i="5"/>
  <c r="D22" i="5"/>
  <c r="V11" i="1"/>
  <c r="Y11" i="1"/>
  <c r="J22" i="5"/>
  <c r="AA11" i="1"/>
  <c r="Z22" i="5"/>
  <c r="Q22" i="5"/>
  <c r="W11" i="1"/>
  <c r="V22" i="5"/>
  <c r="X11" i="1"/>
  <c r="W22" i="5"/>
  <c r="N22" i="5"/>
  <c r="G22" i="5"/>
  <c r="U11" i="1"/>
  <c r="T22" i="5"/>
  <c r="H22" i="5"/>
  <c r="T11" i="1"/>
  <c r="S22" i="5"/>
  <c r="Z11" i="1"/>
  <c r="Y22" i="5"/>
  <c r="K22" i="5"/>
  <c r="M22" i="5"/>
  <c r="P22" i="5"/>
  <c r="C28" i="1"/>
  <c r="N15" i="1" l="1"/>
  <c r="N16" i="1" s="1"/>
  <c r="N17" i="1" s="1"/>
  <c r="N19" i="1" s="1"/>
  <c r="X15" i="1"/>
  <c r="X16" i="1" s="1"/>
  <c r="X17" i="1" s="1"/>
  <c r="X19" i="1" s="1"/>
  <c r="W15" i="1"/>
  <c r="W16" i="1" s="1"/>
  <c r="W17" i="1" s="1"/>
  <c r="U15" i="1"/>
  <c r="U16" i="1" s="1"/>
  <c r="U17" i="1" s="1"/>
  <c r="H15" i="1"/>
  <c r="H16" i="1" s="1"/>
  <c r="H17" i="1" s="1"/>
  <c r="H20" i="1" s="1"/>
  <c r="R15" i="1"/>
  <c r="R16" i="1" s="1"/>
  <c r="R17" i="1" s="1"/>
  <c r="R19" i="1" s="1"/>
  <c r="Z15" i="1"/>
  <c r="Z16" i="1" s="1"/>
  <c r="Z17" i="1" s="1"/>
  <c r="Q15" i="1"/>
  <c r="Q16" i="1" s="1"/>
  <c r="Q17" i="1" s="1"/>
  <c r="O15" i="1"/>
  <c r="O16" i="1" s="1"/>
  <c r="O17" i="1" s="1"/>
  <c r="O19" i="1" s="1"/>
  <c r="AA15" i="1"/>
  <c r="AA16" i="1" s="1"/>
  <c r="AA17" i="1" s="1"/>
  <c r="T15" i="1"/>
  <c r="T16" i="1" s="1"/>
  <c r="T17" i="1" s="1"/>
  <c r="I15" i="1"/>
  <c r="I16" i="1" s="1"/>
  <c r="I17" i="1" s="1"/>
  <c r="I20" i="1" s="1"/>
  <c r="K15" i="1"/>
  <c r="K16" i="1" s="1"/>
  <c r="K17" i="1" s="1"/>
  <c r="K20" i="1" s="1"/>
  <c r="H19" i="1" l="1"/>
  <c r="H18" i="1" s="1"/>
  <c r="H21" i="1" s="1"/>
  <c r="U19" i="1"/>
  <c r="U20" i="1"/>
  <c r="Q19" i="1"/>
  <c r="Q20" i="1"/>
  <c r="T19" i="1"/>
  <c r="T20" i="1"/>
  <c r="Z19" i="1"/>
  <c r="Z20" i="1"/>
  <c r="W19" i="1"/>
  <c r="W20" i="1"/>
  <c r="AA19" i="1"/>
  <c r="AA20" i="1"/>
  <c r="I19" i="1"/>
  <c r="I18" i="1" s="1"/>
  <c r="I21" i="1" s="1"/>
  <c r="K19" i="1"/>
  <c r="K18" i="1" s="1"/>
  <c r="K21" i="1" s="1"/>
  <c r="X20" i="1"/>
  <c r="X18" i="1" s="1"/>
  <c r="X21" i="1" s="1"/>
  <c r="N20" i="1"/>
  <c r="N18" i="1" s="1"/>
  <c r="N21" i="1" s="1"/>
  <c r="O20" i="1"/>
  <c r="O18" i="1" s="1"/>
  <c r="O21" i="1" s="1"/>
  <c r="R20" i="1"/>
  <c r="R18" i="1" s="1"/>
  <c r="R21" i="1" s="1"/>
  <c r="T18" i="1" l="1"/>
  <c r="T21" i="1" s="1"/>
  <c r="U18" i="1"/>
  <c r="U21" i="1" s="1"/>
  <c r="AA18" i="1"/>
  <c r="AA21" i="1" s="1"/>
  <c r="Q18" i="1"/>
  <c r="Q21" i="1" s="1"/>
  <c r="Z18" i="1"/>
  <c r="Z21" i="1" s="1"/>
  <c r="W18" i="1"/>
  <c r="W21" i="1" s="1"/>
  <c r="E22" i="5"/>
  <c r="C10" i="5" l="1"/>
  <c r="C3" i="5"/>
  <c r="C19" i="5"/>
  <c r="C6" i="5"/>
  <c r="C11" i="5"/>
  <c r="C21" i="5"/>
  <c r="C4" i="5"/>
  <c r="C5" i="5"/>
  <c r="C9" i="5"/>
  <c r="C8" i="5"/>
  <c r="O22" i="5"/>
  <c r="P15" i="1"/>
  <c r="C20" i="5"/>
  <c r="C7" i="5"/>
  <c r="X22" i="5"/>
  <c r="Y15" i="1"/>
  <c r="R22" i="5"/>
  <c r="I22" i="5"/>
  <c r="J15" i="1"/>
  <c r="J16" i="1" s="1"/>
  <c r="J17" i="1" s="1"/>
  <c r="U22" i="5"/>
  <c r="V15" i="1"/>
  <c r="L22" i="5"/>
  <c r="M15" i="1"/>
  <c r="C12" i="5"/>
  <c r="C2" i="5"/>
  <c r="F22" i="5"/>
  <c r="M16" i="1" l="1"/>
  <c r="M17" i="1" s="1"/>
  <c r="M20" i="1" s="1"/>
  <c r="C22" i="5"/>
  <c r="J20" i="1"/>
  <c r="J19" i="1"/>
  <c r="V16" i="1"/>
  <c r="V17" i="1" s="1"/>
  <c r="Y16" i="1"/>
  <c r="Y17" i="1" s="1"/>
  <c r="S15" i="1"/>
  <c r="S16" i="1" s="1"/>
  <c r="S17" i="1" s="1"/>
  <c r="P16" i="1"/>
  <c r="P17" i="1" s="1"/>
  <c r="M19" i="1" l="1"/>
  <c r="M18" i="1" s="1"/>
  <c r="M21" i="1" s="1"/>
  <c r="S19" i="1"/>
  <c r="S20" i="1"/>
  <c r="P20" i="1"/>
  <c r="P19" i="1"/>
  <c r="J18" i="1"/>
  <c r="J21" i="1" s="1"/>
  <c r="Y19" i="1"/>
  <c r="Y20" i="1"/>
  <c r="V19" i="1"/>
  <c r="V20" i="1"/>
  <c r="S18" i="1" l="1"/>
  <c r="S21" i="1" s="1"/>
  <c r="F32" i="1" s="1"/>
  <c r="V18" i="1"/>
  <c r="V21" i="1" s="1"/>
  <c r="P18" i="1"/>
  <c r="P21" i="1" s="1"/>
  <c r="Y18" i="1"/>
  <c r="Y21" i="1" s="1"/>
  <c r="F4" i="1" l="1"/>
  <c r="P14" i="12" l="1"/>
  <c r="N14" i="12" s="1"/>
  <c r="F4" i="4" s="1"/>
  <c r="J14" i="12" l="1"/>
  <c r="N15" i="12"/>
  <c r="F3" i="4" s="1"/>
  <c r="H3" i="4" s="1"/>
  <c r="F9" i="1" s="1"/>
  <c r="C9" i="1" s="1"/>
  <c r="N10" i="12"/>
  <c r="F2" i="4" s="1"/>
  <c r="E8" i="1"/>
  <c r="H2" i="4" l="1"/>
  <c r="E4" i="1" s="1"/>
  <c r="J10" i="12"/>
  <c r="F24" i="1"/>
  <c r="F26" i="1" s="1"/>
  <c r="F39" i="1" s="1"/>
  <c r="G39" i="1" s="1"/>
  <c r="J15" i="12"/>
  <c r="H4" i="4"/>
  <c r="L11" i="1" s="1"/>
  <c r="F10" i="1"/>
  <c r="F15" i="1" s="1"/>
  <c r="F16" i="1" s="1"/>
  <c r="F17" i="1" s="1"/>
  <c r="F19" i="1" s="1"/>
  <c r="E10" i="1" l="1"/>
  <c r="C11" i="1"/>
  <c r="L15" i="1"/>
  <c r="L16" i="1" s="1"/>
  <c r="L17" i="1" s="1"/>
  <c r="J16" i="12"/>
  <c r="F20" i="1"/>
  <c r="F18" i="1" s="1"/>
  <c r="F21" i="1" s="1"/>
  <c r="G4" i="1"/>
  <c r="C4" i="1" s="1"/>
  <c r="G8" i="1"/>
  <c r="C8" i="1" s="1"/>
  <c r="H659" i="4"/>
  <c r="E15" i="1"/>
  <c r="L19" i="1" l="1"/>
  <c r="L20" i="1"/>
  <c r="AS11" i="1"/>
  <c r="J17" i="12"/>
  <c r="J24" i="12" s="1"/>
  <c r="P24" i="12"/>
  <c r="Q24" i="12" s="1"/>
  <c r="G10" i="1"/>
  <c r="G15" i="1" s="1"/>
  <c r="G16" i="1" s="1"/>
  <c r="G17" i="1" s="1"/>
  <c r="E16" i="1"/>
  <c r="E17" i="1" s="1"/>
  <c r="K16" i="12" l="1"/>
  <c r="K19" i="12"/>
  <c r="K13" i="12"/>
  <c r="K20" i="12"/>
  <c r="B7" i="12"/>
  <c r="J23" i="12"/>
  <c r="J21" i="12"/>
  <c r="J22" i="12" s="1"/>
  <c r="K22" i="12" s="1"/>
  <c r="K14" i="12"/>
  <c r="K18" i="12"/>
  <c r="K10" i="12"/>
  <c r="K15" i="12"/>
  <c r="K11" i="12"/>
  <c r="K12" i="12"/>
  <c r="L18" i="1"/>
  <c r="L21" i="1" s="1"/>
  <c r="K17" i="12"/>
  <c r="C10" i="1"/>
  <c r="C15" i="1"/>
  <c r="G20" i="1"/>
  <c r="G19" i="1"/>
  <c r="E19" i="1"/>
  <c r="E20" i="1"/>
  <c r="K24" i="12" l="1"/>
  <c r="C16" i="1"/>
  <c r="C23" i="1" s="1"/>
  <c r="G18" i="1"/>
  <c r="G21" i="1" s="1"/>
  <c r="C20" i="1"/>
  <c r="E18" i="1"/>
  <c r="C19" i="1"/>
  <c r="C17" i="1" l="1"/>
  <c r="C18" i="1"/>
  <c r="E21" i="1"/>
  <c r="C21" i="1" l="1"/>
  <c r="F31" i="1" s="1"/>
  <c r="P25" i="12"/>
  <c r="C34" i="1"/>
  <c r="C24" i="1"/>
  <c r="D19" i="1"/>
  <c r="P26" i="12" l="1"/>
  <c r="Q25" i="12"/>
  <c r="F33" i="1"/>
  <c r="D13" i="1"/>
  <c r="D14" i="1"/>
  <c r="D5" i="1"/>
  <c r="D6" i="1"/>
  <c r="D12" i="1"/>
  <c r="D7" i="1"/>
  <c r="D11" i="1"/>
  <c r="D9" i="1"/>
  <c r="D8" i="1"/>
  <c r="D4" i="1"/>
  <c r="D15" i="1"/>
  <c r="D10" i="1"/>
  <c r="D16" i="1"/>
  <c r="D18" i="1"/>
  <c r="D17" i="1"/>
  <c r="D20" i="1"/>
  <c r="D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 Drumond Parente</author>
  </authors>
  <commentList>
    <comment ref="D7" authorId="0" shapeId="0" xr:uid="{CA76C6B9-6B97-41D8-B996-2CBEC28ED8CC}">
      <text>
        <r>
          <rPr>
            <b/>
            <sz val="9"/>
            <color indexed="81"/>
            <rFont val="Segoe UI"/>
            <family val="2"/>
          </rPr>
          <t>Arthur Drumond Parente:</t>
        </r>
        <r>
          <rPr>
            <sz val="9"/>
            <color indexed="81"/>
            <rFont val="Segoe UI"/>
            <family val="2"/>
          </rPr>
          <t xml:space="preserve">
O mês do dissídio é sempre janeiro. </t>
        </r>
      </text>
    </comment>
    <comment ref="D8" authorId="0" shapeId="0" xr:uid="{89793729-B408-408B-B515-9F947B3502EF}">
      <text>
        <r>
          <rPr>
            <b/>
            <sz val="9"/>
            <color indexed="81"/>
            <rFont val="Segoe UI"/>
            <family val="2"/>
          </rPr>
          <t>Arthur Drumond Parente:</t>
        </r>
        <r>
          <rPr>
            <sz val="9"/>
            <color indexed="81"/>
            <rFont val="Segoe UI"/>
            <family val="2"/>
          </rPr>
          <t xml:space="preserve">
O mês do dissídio é sempre janeiro. </t>
        </r>
      </text>
    </comment>
    <comment ref="D15" authorId="0" shapeId="0" xr:uid="{C93DBB56-6B3B-470C-94FC-8FBC44C4E059}">
      <text>
        <r>
          <rPr>
            <b/>
            <sz val="9"/>
            <color indexed="81"/>
            <rFont val="Segoe UI"/>
            <family val="2"/>
          </rPr>
          <t>Arthur Drumond Parente:</t>
        </r>
        <r>
          <rPr>
            <sz val="9"/>
            <color indexed="81"/>
            <rFont val="Segoe UI"/>
            <family val="2"/>
          </rPr>
          <t xml:space="preserve">
Confirmar se a empresa aceita no critério de rateio o RHI.</t>
        </r>
      </text>
    </comment>
  </commentList>
</comments>
</file>

<file path=xl/sharedStrings.xml><?xml version="1.0" encoding="utf-8"?>
<sst xmlns="http://schemas.openxmlformats.org/spreadsheetml/2006/main" count="1213" uniqueCount="624">
  <si>
    <t/>
  </si>
  <si>
    <t>#</t>
  </si>
  <si>
    <t>RUBRICAS</t>
  </si>
  <si>
    <t>VALOR</t>
  </si>
  <si>
    <t>%</t>
  </si>
  <si>
    <t>EXECUÇÃO (MESES)</t>
  </si>
  <si>
    <t>Programas de Computador, Maq e Equip.</t>
  </si>
  <si>
    <t>Implant., Ampliação ou Moderniz.</t>
  </si>
  <si>
    <t>3.1</t>
  </si>
  <si>
    <t>Recursos Humanos Diretos</t>
  </si>
  <si>
    <t>3.2</t>
  </si>
  <si>
    <t>Recursos Humanos Indiretos</t>
  </si>
  <si>
    <t>Serviço Técnico de Terceiros</t>
  </si>
  <si>
    <t>Material de Consumo</t>
  </si>
  <si>
    <t>SUB-TOTAL 1</t>
  </si>
  <si>
    <t>6.1</t>
  </si>
  <si>
    <t>6.2</t>
  </si>
  <si>
    <t>6.3</t>
  </si>
  <si>
    <t>6.4</t>
  </si>
  <si>
    <t>6.5</t>
  </si>
  <si>
    <t>ISSQN</t>
  </si>
  <si>
    <t>SUB-TOTAL 2</t>
  </si>
  <si>
    <t>SUB-TOTAL DISPÊNDIOS</t>
  </si>
  <si>
    <t>Custos Incorridos &amp; Reserva de P&amp;D</t>
  </si>
  <si>
    <t>7.1</t>
  </si>
  <si>
    <t xml:space="preserve">	Custos Incorridos / Constituição de Reserva - Conecthus</t>
  </si>
  <si>
    <t>7.2</t>
  </si>
  <si>
    <t>Outros Custos Incorridos  - CITS</t>
  </si>
  <si>
    <t>TOTAL</t>
  </si>
  <si>
    <t>Outros Correlatos/Outros Dispêndios</t>
  </si>
  <si>
    <t>Serviço de Terceiros</t>
  </si>
  <si>
    <t>Dissídio</t>
  </si>
  <si>
    <t>Inicio do Projeto - Mês/Ano</t>
  </si>
  <si>
    <t>Mês de Dissidio 1</t>
  </si>
  <si>
    <t>Rateio</t>
  </si>
  <si>
    <t>Meses de projeto</t>
  </si>
  <si>
    <t>% RH Indireto</t>
  </si>
  <si>
    <t>Valor fechado</t>
  </si>
  <si>
    <t>Diferença</t>
  </si>
  <si>
    <t>Rubrica</t>
  </si>
  <si>
    <t>Parametro</t>
  </si>
  <si>
    <t>Valor</t>
  </si>
  <si>
    <t>Tipo de RH</t>
  </si>
  <si>
    <t>Programas de Computador</t>
  </si>
  <si>
    <t>Custos Incorridos</t>
  </si>
  <si>
    <t>Direto</t>
  </si>
  <si>
    <t>Máquinas e Equipamentos</t>
  </si>
  <si>
    <t>Inicio Projeto - Mês/Ano</t>
  </si>
  <si>
    <t>Indireto</t>
  </si>
  <si>
    <t>Implantação, Ampliação ou Modernização</t>
  </si>
  <si>
    <t>Terceiro</t>
  </si>
  <si>
    <t>Imposto</t>
  </si>
  <si>
    <t>Outros Custos Incorridos</t>
  </si>
  <si>
    <t>Outros correlatos</t>
  </si>
  <si>
    <t>Mês Dissidio 1</t>
  </si>
  <si>
    <t>sobre dissídio: Mês deve ser confirmado com o RH. Caso não tenha a confirmação pode ser usado para gerar saldo de rh (mês a definir)</t>
  </si>
  <si>
    <t>Treinamentos</t>
  </si>
  <si>
    <t>Mês Dissidio 2</t>
  </si>
  <si>
    <t>Livros e Periódicos</t>
  </si>
  <si>
    <t>Meses de Projeto</t>
  </si>
  <si>
    <t>Viagens</t>
  </si>
  <si>
    <t>Vlr Cesta Natalina</t>
  </si>
  <si>
    <t>Vlr Premiação</t>
  </si>
  <si>
    <t>Headcount Total</t>
  </si>
  <si>
    <t>Alocação de Rateio RHD</t>
  </si>
  <si>
    <t>Alocação de Rateio RHI</t>
  </si>
  <si>
    <t xml:space="preserve"> </t>
  </si>
  <si>
    <t>Nome</t>
  </si>
  <si>
    <t>Cargo</t>
  </si>
  <si>
    <t>Custo Total</t>
  </si>
  <si>
    <t>Mês Reajuste</t>
  </si>
  <si>
    <t>% Reajuste</t>
  </si>
  <si>
    <t>A Definir - ANALISTA ADMINISTRATIVO</t>
  </si>
  <si>
    <t>ANALISTA ADMINISTRATIVO</t>
  </si>
  <si>
    <t>A definir - ANALISTA DE AUTOMAÇÃO PL</t>
  </si>
  <si>
    <t>ANALISTA DE AUTOMAÇÃO PL</t>
  </si>
  <si>
    <t>A Definir - ANALISTA DE DESENVOLVIMENTO DE EMBALAGEM</t>
  </si>
  <si>
    <t>ANALISTA DE DESENVOLVIMENTO DE EMBALAGEM</t>
  </si>
  <si>
    <t>A Definir - ANALISTA DE ENGENHARIA JR</t>
  </si>
  <si>
    <t>ANALISTA DE ENGENHARIA JR</t>
  </si>
  <si>
    <t>A Definir - ANALISTA DE ENGENHARIA PL</t>
  </si>
  <si>
    <t>ANALISTA DE ENGENHARIA PL</t>
  </si>
  <si>
    <t>A Definir - ANALISTA DE FACILITIES PL</t>
  </si>
  <si>
    <t>ANALISTA DE FACILITIES PL</t>
  </si>
  <si>
    <t>A Definir - ANALISTA DE NECOGIOS JR</t>
  </si>
  <si>
    <t>ANALISTA DE NEGÓCIOS JR</t>
  </si>
  <si>
    <t>A Definir - ANALISTA DE NEGÓCIOS PL</t>
  </si>
  <si>
    <t>ANALISTA DE NEGÓCIOS PL</t>
  </si>
  <si>
    <t>A Definir - ANALISTA DE NEGOCIOS SR</t>
  </si>
  <si>
    <t>ANALISTA DE NEGOCIOS SR</t>
  </si>
  <si>
    <t>A Definir - ANALISTA DE NEGÓCIOS SR</t>
  </si>
  <si>
    <t>ANALISTA DE NEGÓCIOS SR</t>
  </si>
  <si>
    <t>A Definir - ANALISTA DE PD&amp;I JR</t>
  </si>
  <si>
    <t>ANALISTA DE PD&amp;I JR</t>
  </si>
  <si>
    <t>A Definir - ANALISTA DE PD&amp;I SR</t>
  </si>
  <si>
    <t>ANALISTA DE PD&amp;I SR</t>
  </si>
  <si>
    <t>A Definir - ANALISTA DE PROCESSO PL</t>
  </si>
  <si>
    <t>ANALISTA DE PROCESSO PL</t>
  </si>
  <si>
    <t>A Definir - ANALISTA DE PRODUTO JR</t>
  </si>
  <si>
    <t>ANALISTA DE PRODUTO JR</t>
  </si>
  <si>
    <t>A Definir - ANALISTA DE RECURSOS HUMANOS PL</t>
  </si>
  <si>
    <t>ANALISTA DE RECURSOS HUMANOS PL</t>
  </si>
  <si>
    <t>A Definir - ANALISTA DE RH SR</t>
  </si>
  <si>
    <t>ANALISTA DE RH SR</t>
  </si>
  <si>
    <t>A Definir - ANALISTA DE RH JR</t>
  </si>
  <si>
    <t>ANALISTA DE RH JR</t>
  </si>
  <si>
    <t>A Definir - ANALISTA DE SISTEMA JR</t>
  </si>
  <si>
    <t>ANALISTA DE SISTEMA JR</t>
  </si>
  <si>
    <t>A Definir - ANALISTA DE SISTEMAS JR</t>
  </si>
  <si>
    <t>ANALISTA DE SISTEMAS JR</t>
  </si>
  <si>
    <t>A Definir - ANALISTA DE SISTEMAS PL</t>
  </si>
  <si>
    <t>ANALISTA DE SISTEMAS PL</t>
  </si>
  <si>
    <t>A Definir - ANALISTA DE SOFTWARE PL</t>
  </si>
  <si>
    <t>ANALISTA DE SOFTWARE PL</t>
  </si>
  <si>
    <t>A Definir - ANALISTA DE TESTE ELETRÔNICOS PL</t>
  </si>
  <si>
    <t>ANALISTA DE TESTE ELETRÔNICOS PL</t>
  </si>
  <si>
    <t>A Definir - ANALISTA DE TESTE JR</t>
  </si>
  <si>
    <t>ANALISTA DE TESTE JR</t>
  </si>
  <si>
    <t>A Definir - ANALISTA DE TESTE SR</t>
  </si>
  <si>
    <t>ANALISTA DE TESTE SR</t>
  </si>
  <si>
    <t>A Definir - ANALISTA DE TESTES ELETRÔNICOS PL</t>
  </si>
  <si>
    <t>ANALISTA DE TESTES ELETRÔNICOS PL</t>
  </si>
  <si>
    <t>A Definir - ANALISTA DE TESTES ELETRÔNICOS SR</t>
  </si>
  <si>
    <t>ANALISTA DE TESTES ELETRÔNICOS SR</t>
  </si>
  <si>
    <t>A Definir - ANALISTA DE TI PL</t>
  </si>
  <si>
    <t>ANALISTA DE TI PL</t>
  </si>
  <si>
    <t>A Definir - ASSISTENTE DE DESENVOLVIMENTO</t>
  </si>
  <si>
    <t>ASSISTENTE DE DESENVOLVIMENTO</t>
  </si>
  <si>
    <t>A Definir - ASSISTENTE DE SGC</t>
  </si>
  <si>
    <t>ASSISTENTE DE SGC</t>
  </si>
  <si>
    <t>A Definir - ASSISTENTE DE SUPORTE</t>
  </si>
  <si>
    <t>ASSISTENTE DE SUPORTE</t>
  </si>
  <si>
    <t>A Definir - ASSISTENTE DE TI</t>
  </si>
  <si>
    <t>ASSISTENTE DE TI</t>
  </si>
  <si>
    <t>A Definir - ASSISTENTE FISCAL</t>
  </si>
  <si>
    <t>ASSISTENTE FISCAL</t>
  </si>
  <si>
    <t xml:space="preserve">A Definir - ASSISTENTE SOCIAL </t>
  </si>
  <si>
    <t xml:space="preserve">ASSISTENTE SOCIAL </t>
  </si>
  <si>
    <t>A Definir - CONTADOR</t>
  </si>
  <si>
    <t>CONTADOR</t>
  </si>
  <si>
    <t>A Definir - COORDENADOR DE INFRAESTRUTURA</t>
  </si>
  <si>
    <t>COORDENADOR DE INFRAESTRUTURA</t>
  </si>
  <si>
    <t>A Definir - COORDENADOR DE PRODUTO E PROCESSO</t>
  </si>
  <si>
    <t>COORDENADOR DE PRODUTO E PROCESSO</t>
  </si>
  <si>
    <t>A Definir - COORDENADOR DE PROJETOS</t>
  </si>
  <si>
    <t>COORDENADOR DE PROJETOS</t>
  </si>
  <si>
    <t>A Definir - COORDENADOR(A) DE SISTEMAS</t>
  </si>
  <si>
    <t>COORDENADOR(A) DE SISTEMAS</t>
  </si>
  <si>
    <t>A Definir - DBA JR</t>
  </si>
  <si>
    <t>DBA JR</t>
  </si>
  <si>
    <t>A Definir - DBA PL</t>
  </si>
  <si>
    <t>DBA PL</t>
  </si>
  <si>
    <t>A Definir - DESENVOLVEDOR BACK END JR</t>
  </si>
  <si>
    <t>DESENVOLVEDOR BACK END JR</t>
  </si>
  <si>
    <t>A Definir - DESENVOLVEDOR BACK END PL</t>
  </si>
  <si>
    <t>DESENVOLVEDOR BACK END PL</t>
  </si>
  <si>
    <t>A Definir - DESENVOLVEDOR BACK END SR</t>
  </si>
  <si>
    <t>DESENVOLVEDOR BACK END SR</t>
  </si>
  <si>
    <t>A Definir - DESENVOLVEDOR FRONT END JR</t>
  </si>
  <si>
    <t>DESENVOLVEDOR FRONT END JR</t>
  </si>
  <si>
    <t>A Definir - DESENVOLVEDOR FRONT END PL</t>
  </si>
  <si>
    <t>DESENVOLVEDOR FRONT END PL</t>
  </si>
  <si>
    <t>A Definir - DESENVOLVEDOR FRONT END SR</t>
  </si>
  <si>
    <t>DESENVOLVEDOR FRONT END SR</t>
  </si>
  <si>
    <t>A Definir - DESENVOLVEDOR FULL STACK PL</t>
  </si>
  <si>
    <t>DESENVOLVEDOR FULL STACK PL</t>
  </si>
  <si>
    <t>A Definir - DESENVOLVEDOR FULL STACK SR</t>
  </si>
  <si>
    <t>DESENVOLVEDOR FULL STACK SR</t>
  </si>
  <si>
    <t>A Definir - DESENVOLVEDOR FULLSTACK PL</t>
  </si>
  <si>
    <t>DESENVOLVEDOR FULLSTACK PL</t>
  </si>
  <si>
    <t>A Definir - DESENVOLVEDOR MOBILE JR</t>
  </si>
  <si>
    <t>DESENVOLVEDOR MOBILE JR</t>
  </si>
  <si>
    <t>A Definir - DESENVOLVEDOR MOBILE PL</t>
  </si>
  <si>
    <t>DESENVOLVEDOR MOBILE PL</t>
  </si>
  <si>
    <t>A Definir - DESENVOLVEDOR MOBILE SR</t>
  </si>
  <si>
    <t>DESENVOLVEDOR MOBILE SR</t>
  </si>
  <si>
    <t>A Definir - DESIGNER PL</t>
  </si>
  <si>
    <t>DESIGNER PL</t>
  </si>
  <si>
    <t>A Definir - DESIGNER SR</t>
  </si>
  <si>
    <t>DESIGNER SR</t>
  </si>
  <si>
    <t>A Definir - DESIGNER UX/UI JR</t>
  </si>
  <si>
    <t>DESIGNER UX/UI JR</t>
  </si>
  <si>
    <t>A Definir - ESPECIALISTA DE PROCESSOS ELETRICOS</t>
  </si>
  <si>
    <t>ESPECIALISTA DE PROCESSOS ELETRICOS</t>
  </si>
  <si>
    <t>A Definir - ESPECIALISTA DE SMT</t>
  </si>
  <si>
    <t>ESPECIALISTA DE SMT</t>
  </si>
  <si>
    <t>A Definir - ESPECIALISTA EM AUTOMAÇÃO II</t>
  </si>
  <si>
    <t>ESPECIALISTA EM AUTOMAÇÃO II</t>
  </si>
  <si>
    <t>A Definir - ESPECIALISTA EM DESENVOLVIMENTO</t>
  </si>
  <si>
    <t>ESPECIALISTA EM DESENVOLVIMENTO</t>
  </si>
  <si>
    <t>A Definir - ESPECIALISTA EM DESENVOLVIMENTO MOBILE</t>
  </si>
  <si>
    <t>ESPECIALISTA EM DESENVOLVIMENTO MOBILE</t>
  </si>
  <si>
    <t>A Definir - ESPECIALISTA EM DEVOPS</t>
  </si>
  <si>
    <t>ESPECIALISTA EM DEVOPS</t>
  </si>
  <si>
    <t>A Definir - ESPECIALISTA EM INSERÇÃO AUTOMÁTICA</t>
  </si>
  <si>
    <t>ESPECIALISTA EM INSERÇÃO AUTOMÁTICA</t>
  </si>
  <si>
    <t>A Definir - ESPECIALISTA EM PROCESSO</t>
  </si>
  <si>
    <t>ESPECIALISTA EM PROCESSO</t>
  </si>
  <si>
    <t>A Definir - ESPECIALISTA EM PROCESSOS</t>
  </si>
  <si>
    <t>ESPECIALISTA EM PROCESSOS</t>
  </si>
  <si>
    <t>A Definir - ESPECIALISTA EM PROCESSOS ELÉTRICOS</t>
  </si>
  <si>
    <t>ESPECIALISTA EM PROCESSOS ELÉTRICOS</t>
  </si>
  <si>
    <t>A Definir - ESPECIALISTA EM PROCESSOS MECÂNICOS</t>
  </si>
  <si>
    <t>ESPECIALISTA EM PROCESSOS MECÂNICOS</t>
  </si>
  <si>
    <t>A Definir - ESPECIALISTA EM PRODUTO</t>
  </si>
  <si>
    <t>ESPECIALISTA EM PRODUTO</t>
  </si>
  <si>
    <t>A Definir - ESPECIALISTA EM QUALIDADE</t>
  </si>
  <si>
    <t>ESPECIALISTA EM QUALIDADE</t>
  </si>
  <si>
    <t>A Definir - ESTAGIÁRIO DE TREINAMENTO</t>
  </si>
  <si>
    <t>ESTAGIÁRIO II</t>
  </si>
  <si>
    <t>A Definir - ESTAGIARIO I</t>
  </si>
  <si>
    <t>ESTAGIARIO I</t>
  </si>
  <si>
    <t>A Definir - ESTAGIARIO IV</t>
  </si>
  <si>
    <t>ESTAGIARIO IV</t>
  </si>
  <si>
    <t>A Definir - FERRAMENTEIRO JR</t>
  </si>
  <si>
    <t>FERRAMENTEIRO JR</t>
  </si>
  <si>
    <t>A Definir - GERENTE DE NPI</t>
  </si>
  <si>
    <t>GERENTE DE NPI</t>
  </si>
  <si>
    <t>A Definir - GERENTE DE PD&amp;I</t>
  </si>
  <si>
    <t>GERENTE DE PD&amp;I</t>
  </si>
  <si>
    <t>A Definir - GERENTE DE PROJETOS</t>
  </si>
  <si>
    <t>GERENTE DE PROJETOS</t>
  </si>
  <si>
    <t>A Definir - GERENTE DE PROJETOS JR</t>
  </si>
  <si>
    <t>GERENTE DE PROJETOS JR</t>
  </si>
  <si>
    <t>A Definir - GERENTE DE PROJETOS SR</t>
  </si>
  <si>
    <t>GERENTE DE PROJETOS SR</t>
  </si>
  <si>
    <t>A Definir - GERENTE DE SISTEMAS</t>
  </si>
  <si>
    <t>GERENTE DE SISTEMAS</t>
  </si>
  <si>
    <t>A Definir - GERENTE DE TI</t>
  </si>
  <si>
    <t>GERENTE DE TI</t>
  </si>
  <si>
    <t>A Definir - LÍDER DE PROJETOS</t>
  </si>
  <si>
    <t>LÍDER DE PROJETOS</t>
  </si>
  <si>
    <t xml:space="preserve">A Definir - LÍDER DE PROJETOS </t>
  </si>
  <si>
    <t xml:space="preserve">LÍDER DE PROJETOS </t>
  </si>
  <si>
    <t>A Definir - PESQUISADOR DE BIOTECNOLOGIA PL</t>
  </si>
  <si>
    <t>PESQUISADOR DE BIOTECNOLOGIA PL</t>
  </si>
  <si>
    <t>A Definir - PESQUISADOR DE BIOTECNOLOGIA SR</t>
  </si>
  <si>
    <t>PESQUISADOR DE BIOTECNOLOGIA SR</t>
  </si>
  <si>
    <t>A Definir - TECH LEAD</t>
  </si>
  <si>
    <t>TECH LEAD</t>
  </si>
  <si>
    <t>A Definir - TÉCNICO DE SMT</t>
  </si>
  <si>
    <t>TÉCNICO DE SMT</t>
  </si>
  <si>
    <t>A Definir - TECNICO DE TI JR</t>
  </si>
  <si>
    <t>TECNICO DE TI JR</t>
  </si>
  <si>
    <t>ALDAIR CAMPOS CERDEIRA</t>
  </si>
  <si>
    <t>DESENVOLVEDOR FULLSTACK SR</t>
  </si>
  <si>
    <t>ALESSANDRA DUARTE SILVA</t>
  </si>
  <si>
    <t>DIRETOR PD&amp;I E NEGÓCIOS</t>
  </si>
  <si>
    <t>ALEXANDRE MONTEIRO RIBEIRO</t>
  </si>
  <si>
    <t>PESQUISADOR</t>
  </si>
  <si>
    <t>A Definir - LÍDER DE PD&amp;I</t>
  </si>
  <si>
    <t>LÍDER DE PD&amp;I</t>
  </si>
  <si>
    <t>A Definir - ESPECIALISTA DE PD&amp;I PL</t>
  </si>
  <si>
    <t>ESPECIALISTA DE PD&amp;I PL</t>
  </si>
  <si>
    <t>A Definir - COORDENADOR DE PD&amp;I</t>
  </si>
  <si>
    <t>COORDENADOR DE PD&amp;I</t>
  </si>
  <si>
    <t>AMISSADAI FERREIRA PINHEIRO</t>
  </si>
  <si>
    <t>DESENVOLVEDOR FULL STACK JR</t>
  </si>
  <si>
    <t>ANA CLAUDIA BRASIL LOPES</t>
  </si>
  <si>
    <t>ANA JARES FERREIRA MESQUITA</t>
  </si>
  <si>
    <t>AUXILIAR ADMINISTRATIVO</t>
  </si>
  <si>
    <t>ANA LIVIA FERREIRA PONTES</t>
  </si>
  <si>
    <t>DESIGNER JR</t>
  </si>
  <si>
    <t>ARISTEU JONATAS LEITE DE OLIVEIRA</t>
  </si>
  <si>
    <t>ARTHUR DRUMOND PARENTE</t>
  </si>
  <si>
    <t>COORDENADOR DE PROJETOS SR</t>
  </si>
  <si>
    <t>BENJAMIN RODRIGUES PERES NETO</t>
  </si>
  <si>
    <t>ANALISTA DE DEVOPS PL</t>
  </si>
  <si>
    <t>BRUNO CRISTIANO DOS SANTOS SANTOS</t>
  </si>
  <si>
    <t>DANIEL DO CARMO MENEZES</t>
  </si>
  <si>
    <t>ANALISTA DE SISTEMAS SR</t>
  </si>
  <si>
    <t>DANIEL PINTO DE SA</t>
  </si>
  <si>
    <t>A DEFINIR - GERENTE DE T.I</t>
  </si>
  <si>
    <t>GERENTE DE T.I</t>
  </si>
  <si>
    <t>DAVID WILKERSON SOUZA DA SILVA</t>
  </si>
  <si>
    <t>A DEFINIR - ANALISTA DE NEGOCIOS SR</t>
  </si>
  <si>
    <t>A DEFINIR - BIÓLOGO</t>
  </si>
  <si>
    <t>BIÓLOGO</t>
  </si>
  <si>
    <t>EDUARDO MAGALHAES DO VALLE</t>
  </si>
  <si>
    <t>EDUARDO TAVARES MAGALHAES</t>
  </si>
  <si>
    <t>ELDEANNE LOPES DA SILVA</t>
  </si>
  <si>
    <t>ANALISTA DE RH PL</t>
  </si>
  <si>
    <t>ELIANA OLIVEIRA DE SOUZA</t>
  </si>
  <si>
    <t>TECNOLOGO(A) EM ALIMENTOS</t>
  </si>
  <si>
    <t>ENILSON XAVIER LIMA</t>
  </si>
  <si>
    <t>ERICK RAMOS DA SILVA</t>
  </si>
  <si>
    <t>ERIKA STEPHANIE HERCULANO JACOB</t>
  </si>
  <si>
    <t>ESTHEPHANNY OLIVEIRA DA COSTA</t>
  </si>
  <si>
    <t>FRANCISCO ALVES MENDONCA FILHO</t>
  </si>
  <si>
    <t>FRANK CHOITE IKUNO</t>
  </si>
  <si>
    <t>GABRIEL BASTOS CERQUINHO</t>
  </si>
  <si>
    <t>GABRIEL FERREIRA LOUREDO</t>
  </si>
  <si>
    <t>GABRIEL LIMA DE SOUZA</t>
  </si>
  <si>
    <t>A DEFINIR - ANALISTA DE PROJETOS PL</t>
  </si>
  <si>
    <t>ANALISTA DE PROJETOS PL</t>
  </si>
  <si>
    <t>GILDA GABRIELLY SOUZA DE ANDRADE</t>
  </si>
  <si>
    <t>GLAUBER SILVA SOARES</t>
  </si>
  <si>
    <t>TÉCNICO DE ENSAIOS</t>
  </si>
  <si>
    <t>GLENDA JUNGLIA COSTA ROCHA</t>
  </si>
  <si>
    <t>ESPECIALISTA DE PROJETOS SR</t>
  </si>
  <si>
    <t>HASSAN DA SILVA RODRIGUES</t>
  </si>
  <si>
    <t>INGRA DE SOUZA D ANTONA</t>
  </si>
  <si>
    <t>ISOMAR LIMA DA SILVA</t>
  </si>
  <si>
    <t>PESQUISADOR PL</t>
  </si>
  <si>
    <t>JANDER LIBORIO SILVA NUNES</t>
  </si>
  <si>
    <t>JAQUELINE PALHANO DE ALENCAR</t>
  </si>
  <si>
    <t>ANALISTA DE DOCUMENTAÇÃO TÉCNICA PL</t>
  </si>
  <si>
    <t>JHONATAN SILVA DE SOUSA</t>
  </si>
  <si>
    <t>JORGE ADRIANO LINDOSO</t>
  </si>
  <si>
    <t>JULIANA MAGALHAES CRUZ PARENTE</t>
  </si>
  <si>
    <t>ANALISTA FISCAL PL</t>
  </si>
  <si>
    <t>KALEB DIAS DA SILVA</t>
  </si>
  <si>
    <t>LIDER DE PROJETOS SR</t>
  </si>
  <si>
    <t>KATIA LETICIA OLIVEIRA RABELO</t>
  </si>
  <si>
    <t>A Definir - ESPECIALISTA DE PD&amp;I JR</t>
  </si>
  <si>
    <t>ESPECIALISTA DE PD&amp;I JR</t>
  </si>
  <si>
    <t>LARISSA GOMES SILVA DE SOUZA</t>
  </si>
  <si>
    <t>ESPECIALISTA DE PROJETOS</t>
  </si>
  <si>
    <t>LARYSSA BRENDA DE OLIVEIRA COLARES</t>
  </si>
  <si>
    <t>ANALISTA FINANCEIRO PL</t>
  </si>
  <si>
    <t>LEONARDO DOLZANE DE SOUZA</t>
  </si>
  <si>
    <t>A DEFINIR - COORDENADOR FINANCEIRO</t>
  </si>
  <si>
    <t>COORDENADOR FINANCEIRO</t>
  </si>
  <si>
    <t>LIVIA COSTA DA SILVA</t>
  </si>
  <si>
    <t>LUANA SOUZA ARAUJO</t>
  </si>
  <si>
    <t>LUIZ CARLOS DA SILVA GARCIA JUNIOR</t>
  </si>
  <si>
    <t>LUIZ DANIEL MARINHO DOS SANTOS</t>
  </si>
  <si>
    <t>LUIZ FABIO SCHMITT VIEIRA</t>
  </si>
  <si>
    <t>ANALISTA DEVOPS SR</t>
  </si>
  <si>
    <t>MARCELO NOGUEIRA DE MATOS</t>
  </si>
  <si>
    <t>ANALISTA DE LABORATÓRIO SR</t>
  </si>
  <si>
    <t>MARCOS GUIMARAES DE FREITAS</t>
  </si>
  <si>
    <t>MARIETA NASCIMENTO DE QUEIROZ</t>
  </si>
  <si>
    <t>ESPECIALISTA DE BIO</t>
  </si>
  <si>
    <t>NADIA CAVALCANTE DA SILVA</t>
  </si>
  <si>
    <t>NOVA CONTRATAÇÃO - FISCAL</t>
  </si>
  <si>
    <t>NOVA CONTRATAÇÃO - RH</t>
  </si>
  <si>
    <t>PAULA ANTONUCCI MURTA</t>
  </si>
  <si>
    <t>PAULO GABRIEL ROCHA SILVA</t>
  </si>
  <si>
    <t>PAULO SOBRAL MAYAN</t>
  </si>
  <si>
    <t>PETER KINEV DA SILVA BRITO</t>
  </si>
  <si>
    <t>PRISCILA BESSA DE SOUZA</t>
  </si>
  <si>
    <t>COORDENADOR(A) DE COMPRAS PL</t>
  </si>
  <si>
    <t>RAFAEL DOS REIS SALAZAR</t>
  </si>
  <si>
    <t>RANGEL SALES DE ALMEIDA</t>
  </si>
  <si>
    <t>ANALISTA DE ENGENHARIA SR</t>
  </si>
  <si>
    <t>RHAYANA AZEVEDO DE LIMA RAUBUSTT</t>
  </si>
  <si>
    <t>ANALISTA DE COMPRAS PL</t>
  </si>
  <si>
    <t>RICARDO MANGABEIRO VILELA</t>
  </si>
  <si>
    <t>ROBERTO MAIA AUGUSTO</t>
  </si>
  <si>
    <t>ESPECIALISTA EM ENSAIOS</t>
  </si>
  <si>
    <t>RODRIGO COSTA DOS SANTOS</t>
  </si>
  <si>
    <t>ROSIMEIRY BELEM DUTRA VIEGAS</t>
  </si>
  <si>
    <t>ENGENHARIA DE BIOPROCESSOS</t>
  </si>
  <si>
    <t>SEVERINO RAMOS DA SILVA</t>
  </si>
  <si>
    <t>ELETRICISTA</t>
  </si>
  <si>
    <t>SUSANY RODRIGUES DE SOUZA</t>
  </si>
  <si>
    <t>DBA / ANALISTA DE BI PL</t>
  </si>
  <si>
    <t>THAMIRES LUCENA DE SENA</t>
  </si>
  <si>
    <t>ANALISTA DE TESTE PL</t>
  </si>
  <si>
    <t>THIAGO JACOB DE SOUZA</t>
  </si>
  <si>
    <t>THIAGO SANTOS RODRIGUES</t>
  </si>
  <si>
    <t>COORDENADOR(A) DE RH</t>
  </si>
  <si>
    <t>THYAGO DE OLIVEIRA MENDES</t>
  </si>
  <si>
    <t>FERRAMENTEIRO PL</t>
  </si>
  <si>
    <t>VILSON DOS SANTOS OLIVEIRA FILHO</t>
  </si>
  <si>
    <t>WESLEY MENEZES MOTA</t>
  </si>
  <si>
    <t>ANALISTA DE P&amp;D JR</t>
  </si>
  <si>
    <t>WESLLEY PANTOJA TAPAJOS</t>
  </si>
  <si>
    <t>YANCA SOUZA HALL</t>
  </si>
  <si>
    <t>RENATO DE OLIVEIRA GUERREIRO</t>
  </si>
  <si>
    <t>DIRETOR TÉCNICO OPERACIONAL</t>
  </si>
  <si>
    <t>ALESSANDRO PINHEIRO DE ALMEIDA</t>
  </si>
  <si>
    <t>ESPECIALISTA DE DESENVOLVIMENTO</t>
  </si>
  <si>
    <t>ALICE DOS SANTOS MENDONCA</t>
  </si>
  <si>
    <t>ANALISTA DE NEGOCIOS PL</t>
  </si>
  <si>
    <t>ALLAN DELON DA COSTA BRUCE</t>
  </si>
  <si>
    <t>BIOLOGO</t>
  </si>
  <si>
    <t>ANTONIO PEREIRA FONTENELE</t>
  </si>
  <si>
    <t>CRISTIANO MOURAO DA FONSECA</t>
  </si>
  <si>
    <t>ANALISTA DE ENGENHARIA DE TESTE SR</t>
  </si>
  <si>
    <t>DANIEL ANGELO OLIVEIRA DE ABREU</t>
  </si>
  <si>
    <t>ANALISTA DE P&amp;D PL</t>
  </si>
  <si>
    <t>DEISE QUINTINO ARAUJO</t>
  </si>
  <si>
    <t>ANALISTA DE ENGENHARIA DE PROCESSO SR</t>
  </si>
  <si>
    <t>DENIS JOSE CAMPOS DE LIMA</t>
  </si>
  <si>
    <t>ESPECIALISTA DE INOVAÇÃO</t>
  </si>
  <si>
    <t>ELIAS TRAVASSOS DE SOUZA NETO</t>
  </si>
  <si>
    <t>FERNANDA CARLA DOS SANTOS DE OLIVEIRA</t>
  </si>
  <si>
    <t>FRANCISCO HERALDO CORREA COSTA</t>
  </si>
  <si>
    <t>ANALISTA DE INOVAÇÃO SR</t>
  </si>
  <si>
    <t>JULIANO DA COSTA RAMOS</t>
  </si>
  <si>
    <t>ANALISTA DE ENGENHARIA DE TESTE PL</t>
  </si>
  <si>
    <t>LILIA RAYANNE ABREU FERREIRA</t>
  </si>
  <si>
    <t>MARCELO RUBIM DA COSTA</t>
  </si>
  <si>
    <t>MARCOS PAULO BEZERRA</t>
  </si>
  <si>
    <t>ESPECIALISTA DE PRODUTO</t>
  </si>
  <si>
    <t>MARCOS VINICIUS MACIEL DA SILVA</t>
  </si>
  <si>
    <t>ASSISTENTE DE ENGENHARIA</t>
  </si>
  <si>
    <t>MARINALDO RIBEIRO DA CUNHA</t>
  </si>
  <si>
    <t>ESPECIALISTA DE PROCESSOS QUIMICOS</t>
  </si>
  <si>
    <t>NAYRA REIS DO NASCIMENTO</t>
  </si>
  <si>
    <t>RAPHAEL VALLE SANTOS</t>
  </si>
  <si>
    <t>REGIELY VIANA DE SOUSA</t>
  </si>
  <si>
    <t>ASSISTENTE DE P&amp;D PL</t>
  </si>
  <si>
    <t>RENATO MOREIRA TEIXEIRA JUNIOR</t>
  </si>
  <si>
    <t>ESPECIALISTA EM ENGENHARIA DE MATERIAIS</t>
  </si>
  <si>
    <t>ROMULO NONATO VIEIRA DE OLIVEIRA</t>
  </si>
  <si>
    <t>TECNICO DE INOVAÇÃO</t>
  </si>
  <si>
    <t>SHAYENNE CABRAL APOLINARIO</t>
  </si>
  <si>
    <t>GABRIELA SILVA DA ROCHA</t>
  </si>
  <si>
    <t>CAYO DOUGLAS QUEIROZ DE ANDRADE</t>
  </si>
  <si>
    <t>LIDER DE PROJETOS PL</t>
  </si>
  <si>
    <t>ZACARIAS BENTES ALVES</t>
  </si>
  <si>
    <t>ANALISTA DE ENGENHARIA DE PROCESSO PL</t>
  </si>
  <si>
    <t>FIAMA SILVA DE ANDRADE</t>
  </si>
  <si>
    <t>LUCIANA FERREIRA DE ALMEIDA</t>
  </si>
  <si>
    <t>HEITOR DE MELO RIBEIRO</t>
  </si>
  <si>
    <t>FABIOLA BAZI</t>
  </si>
  <si>
    <t>DIRETORA ADMINISTRATIVO-FINANCEIRO</t>
  </si>
  <si>
    <t>AILTON FIGUEIRA DE QUEIROZ</t>
  </si>
  <si>
    <t>DIRETOR EXECUTIVO</t>
  </si>
  <si>
    <t>FABIANA SALES BATISTA</t>
  </si>
  <si>
    <t>AMANDA DA SILVA PIMENTEL</t>
  </si>
  <si>
    <t>ASSISTENTE DE PROJETOS</t>
  </si>
  <si>
    <t>ADILSON MONTEIRO PENHA</t>
  </si>
  <si>
    <t>ALESSANDRA CASTRO ROCHA</t>
  </si>
  <si>
    <t>ANDREA MEIRELES DA MOTA</t>
  </si>
  <si>
    <t xml:space="preserve">COORDENADOR(A) DE CONTROLADORIA </t>
  </si>
  <si>
    <t>BEATRIZ PEREIRA DE SOUZA</t>
  </si>
  <si>
    <t>ANALISTA DE COMPRAS JR</t>
  </si>
  <si>
    <t>BIANCA HAYEK BIANCO</t>
  </si>
  <si>
    <t>EDNEIA MARQUES WANDERLEY</t>
  </si>
  <si>
    <t>ERIK MARCOS SOUZA DIAS</t>
  </si>
  <si>
    <t>FABRIZIO PAIVA DA COSTA</t>
  </si>
  <si>
    <t>ESPECIALISTA EM ENGENHARIA MECANICA</t>
  </si>
  <si>
    <t>GIOVANNA DA CUNHA NANTES DOS SANTOS</t>
  </si>
  <si>
    <t>HOMERO SOARES DA SILVA</t>
  </si>
  <si>
    <t>ANALISTA DE COMPRAS INTERNACIONAL PL</t>
  </si>
  <si>
    <t>JAQUELINE FREALDO ROVARIS</t>
  </si>
  <si>
    <t>ANALISTA JURIDICO PLENO</t>
  </si>
  <si>
    <t>ANALISTA DE NEGOCIOS JR</t>
  </si>
  <si>
    <t>LIVIA BATISTA PEREIRA</t>
  </si>
  <si>
    <t>MARCELLO SOUZA DA SILVA</t>
  </si>
  <si>
    <t>AUXILIAR DE TI</t>
  </si>
  <si>
    <t>MARIA EDUARDA CRISOSTOMO CRUZ</t>
  </si>
  <si>
    <t>ASSISTENTE FINANCEIRO</t>
  </si>
  <si>
    <t>VANESSA LEAL DE QUEIROZ HERMINO</t>
  </si>
  <si>
    <t>ANALISTA DE INFRAESTRUTURA LABORATORIAL</t>
  </si>
  <si>
    <t>LIRIAN CORREA DA SILVA</t>
  </si>
  <si>
    <t>COORDENADOR DE REGULAMENTAÇÃO DE P&amp;D</t>
  </si>
  <si>
    <t>Tipo</t>
  </si>
  <si>
    <t>Mês</t>
  </si>
  <si>
    <t>Horas</t>
  </si>
  <si>
    <t>Alocação</t>
  </si>
  <si>
    <t>Custo</t>
  </si>
  <si>
    <t>Justificativa</t>
  </si>
  <si>
    <t>Descrição</t>
  </si>
  <si>
    <t>Quantidade</t>
  </si>
  <si>
    <t>Custo Unitário</t>
  </si>
  <si>
    <t>Frete</t>
  </si>
  <si>
    <t>Observações</t>
  </si>
  <si>
    <t>1</t>
  </si>
  <si>
    <t>%Aloc1</t>
  </si>
  <si>
    <t>2</t>
  </si>
  <si>
    <t>%Aloc2</t>
  </si>
  <si>
    <t>3</t>
  </si>
  <si>
    <t>%Aloc3</t>
  </si>
  <si>
    <t>4</t>
  </si>
  <si>
    <t>%Aloc4</t>
  </si>
  <si>
    <t>5</t>
  </si>
  <si>
    <t>%Aloc5</t>
  </si>
  <si>
    <t>6</t>
  </si>
  <si>
    <t>%Aloc6</t>
  </si>
  <si>
    <t>7</t>
  </si>
  <si>
    <t>%Aloc7</t>
  </si>
  <si>
    <t>8</t>
  </si>
  <si>
    <t>%Aloc8</t>
  </si>
  <si>
    <t>9</t>
  </si>
  <si>
    <t>%Aloc9</t>
  </si>
  <si>
    <t>10</t>
  </si>
  <si>
    <t>%Aloc10</t>
  </si>
  <si>
    <t>11</t>
  </si>
  <si>
    <t>%Aloc11</t>
  </si>
  <si>
    <t>12</t>
  </si>
  <si>
    <t>%Aloc12</t>
  </si>
  <si>
    <t>13</t>
  </si>
  <si>
    <t>%Aloc13</t>
  </si>
  <si>
    <t>14</t>
  </si>
  <si>
    <t>%Aloc14</t>
  </si>
  <si>
    <t>15</t>
  </si>
  <si>
    <t>%Aloc15</t>
  </si>
  <si>
    <t>16</t>
  </si>
  <si>
    <t>%Aloc16</t>
  </si>
  <si>
    <t>17</t>
  </si>
  <si>
    <t>%Aloc17</t>
  </si>
  <si>
    <t>18</t>
  </si>
  <si>
    <t>%Aloc18</t>
  </si>
  <si>
    <t>19</t>
  </si>
  <si>
    <t>%Aloc19</t>
  </si>
  <si>
    <t>20</t>
  </si>
  <si>
    <t>%Aloc20</t>
  </si>
  <si>
    <t>21</t>
  </si>
  <si>
    <t>%Aloc21</t>
  </si>
  <si>
    <t>22</t>
  </si>
  <si>
    <t>%Aloc22</t>
  </si>
  <si>
    <t>23</t>
  </si>
  <si>
    <t>%Aloc23</t>
  </si>
  <si>
    <t>Despesa</t>
  </si>
  <si>
    <t>Custo Mensal</t>
  </si>
  <si>
    <t>Custo Rateado</t>
  </si>
  <si>
    <t>Consumo Energia Elétrica</t>
  </si>
  <si>
    <t>Aluguel Prédio</t>
  </si>
  <si>
    <t>Telefonia - Oi</t>
  </si>
  <si>
    <t>Internet - LogicPRO/Axxes</t>
  </si>
  <si>
    <t>Impressoras - Virtual Sistemas</t>
  </si>
  <si>
    <t>Office 365/Project</t>
  </si>
  <si>
    <t>Conservacao e Limpeza</t>
  </si>
  <si>
    <t>Manutenção de Ar Condicionando</t>
  </si>
  <si>
    <t>Serviço de Suporte Administrativo Contábil</t>
  </si>
  <si>
    <t xml:space="preserve">Serviço suporte de informática (operação de datacenter e hospedagem de servidores
</t>
  </si>
  <si>
    <t>IPTU</t>
  </si>
  <si>
    <t>Consultoria LM: Prestação de serviços relativo ao apoio e orientação no gerenciamento de projetos de pesquisa, desenvolvimento e inovação gerenciamento de risco, de escopo e financeiro</t>
  </si>
  <si>
    <t>Seguro Patrimonial</t>
  </si>
  <si>
    <t>Prevenção contra incêndios e desastres naturais</t>
  </si>
  <si>
    <t>Seguro saúde de RH</t>
  </si>
  <si>
    <t>Serviço de Suporte Admin (compras, finanças, rh, fiscal)</t>
  </si>
  <si>
    <t>Serviço de suporte de informática (operação de rede, suporte ao usuário)</t>
  </si>
  <si>
    <t>Consumo de Água</t>
  </si>
  <si>
    <t>Licença d4sign (aprovação e validação de documentação técnica)</t>
  </si>
  <si>
    <t>Serviço de Administração Condominial</t>
  </si>
  <si>
    <t>DESCRIÇÃO</t>
  </si>
  <si>
    <t>M1</t>
  </si>
  <si>
    <t>M2</t>
  </si>
  <si>
    <t>M3</t>
  </si>
  <si>
    <t>M4</t>
  </si>
  <si>
    <t>M5</t>
  </si>
  <si>
    <t>M7</t>
  </si>
  <si>
    <t>Gerenciamento de projetos</t>
  </si>
  <si>
    <t>Design e Planejamento Detalhado</t>
  </si>
  <si>
    <t>Desenvolvimento e Prototipagem</t>
  </si>
  <si>
    <t>Testes e Ajustes</t>
  </si>
  <si>
    <t>Instalação e Integração</t>
  </si>
  <si>
    <t>Operação e Otimização</t>
  </si>
  <si>
    <t>Início da bateria de testes</t>
  </si>
  <si>
    <t>Entrega final e homologação</t>
  </si>
  <si>
    <t>PROJETO:</t>
  </si>
  <si>
    <t>FINISH GOOD AUTOMATION</t>
  </si>
  <si>
    <t>CLIENTE:</t>
  </si>
  <si>
    <t>FLEX</t>
  </si>
  <si>
    <t>PRAZO:</t>
  </si>
  <si>
    <t>10 MESES</t>
  </si>
  <si>
    <t xml:space="preserve">TEMA: </t>
  </si>
  <si>
    <t>Desenvolvimento de uma solução para ordenação dos produtos acabados automatizada com sistema inteligente de paletização.</t>
  </si>
  <si>
    <t>VALOR TOTAL:</t>
  </si>
  <si>
    <t>Valor Atual</t>
  </si>
  <si>
    <t>DEMANDAS FLEX</t>
  </si>
  <si>
    <t>USD</t>
  </si>
  <si>
    <t>FATOR</t>
  </si>
  <si>
    <t>CÂMBIO</t>
  </si>
  <si>
    <t>CIF REAL</t>
  </si>
  <si>
    <t>MOD. 01</t>
  </si>
  <si>
    <t>MOD. 02</t>
  </si>
  <si>
    <t>MOD. 03</t>
  </si>
  <si>
    <t>TOTAL STT</t>
  </si>
  <si>
    <t>TOTAL DEMANDAS FLEX</t>
  </si>
  <si>
    <t>COMPENSAÇÃO EM RHD</t>
  </si>
  <si>
    <t>SALDO A COMPENSAR EM OUTRA RUBRICAS</t>
  </si>
  <si>
    <t>VALOR STT</t>
  </si>
  <si>
    <t>DISPÊNDIO COM ENTREGÁVEL DO PD&amp;I</t>
  </si>
  <si>
    <t>R$</t>
  </si>
  <si>
    <t>DOA INCORRIDOS &amp; RESERVAS P&amp;D</t>
  </si>
  <si>
    <t>TOTAL DEMANDAS DO PROJETO</t>
  </si>
  <si>
    <t>Cliente: DENSO
Projeto:  APLICAÇÃO AUTOMÁTICA DE ETIQUETA</t>
  </si>
  <si>
    <t xml:space="preserve">Plano P&amp;D ABA2025 </t>
  </si>
  <si>
    <t>Itens</t>
  </si>
  <si>
    <t>Rubricas</t>
  </si>
  <si>
    <t>Valores</t>
  </si>
  <si>
    <t>[1]</t>
  </si>
  <si>
    <t>Demonstrativo de Rateio no Projeto</t>
  </si>
  <si>
    <t>[2]</t>
  </si>
  <si>
    <t>[3]</t>
  </si>
  <si>
    <t>[4]</t>
  </si>
  <si>
    <t>[5]</t>
  </si>
  <si>
    <t>[6]</t>
  </si>
  <si>
    <t>Sub Total de Dispendios do Projeto</t>
  </si>
  <si>
    <t>[7]</t>
  </si>
  <si>
    <t>7.3</t>
  </si>
  <si>
    <t>[8]</t>
  </si>
  <si>
    <t>[9]</t>
  </si>
  <si>
    <t>DOA</t>
  </si>
  <si>
    <t>TOTAL AB2025</t>
  </si>
  <si>
    <t>Vlr R$</t>
  </si>
  <si>
    <t>HW</t>
  </si>
  <si>
    <t>RHD SYSMAQ</t>
  </si>
  <si>
    <t>VALOR SYSMAQ</t>
  </si>
  <si>
    <t>RH SYSMAQ</t>
  </si>
  <si>
    <t>TOTAL SYSMAQ</t>
  </si>
  <si>
    <t xml:space="preserve"> 1 + 4 + 5</t>
  </si>
  <si>
    <t>RHD CONECTHUS</t>
  </si>
  <si>
    <t>SYSMAQ</t>
  </si>
  <si>
    <t>CONECTHUS</t>
  </si>
  <si>
    <t xml:space="preserve">CORRELATOS </t>
  </si>
  <si>
    <t>INCORRIDOS</t>
  </si>
  <si>
    <t>VALOR + 3 MESES</t>
  </si>
  <si>
    <t>VALOR TOTAL (1 + 2)</t>
  </si>
  <si>
    <t>VALOR DO PROJETO</t>
  </si>
  <si>
    <t>Valor pendente de projetos anteriores</t>
  </si>
  <si>
    <t>Novo Vlr SYSMAQ</t>
  </si>
  <si>
    <t>Coluna1</t>
  </si>
  <si>
    <t xml:space="preserve">Obs: Adicionado o Dispensador </t>
  </si>
  <si>
    <t>Adicionado a impressora compatível ao dispensador</t>
  </si>
  <si>
    <t>Valor Anterior SYSMAQ</t>
  </si>
  <si>
    <t># Diferença</t>
  </si>
  <si>
    <t>Valor Atual SYSMAQ</t>
  </si>
  <si>
    <t>Valor reduzido na rubrica de Serviço de terceiros</t>
  </si>
  <si>
    <t>Materiais</t>
  </si>
  <si>
    <t>Serv. Terceiros</t>
  </si>
  <si>
    <t>RH</t>
  </si>
  <si>
    <t>Equipamentos</t>
  </si>
  <si>
    <t>Correlatos</t>
  </si>
  <si>
    <t>Aloc_ToT</t>
  </si>
  <si>
    <t>Tot</t>
  </si>
  <si>
    <t>Tot/12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</si>
</sst>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mm/yyyy"/>
    <numFmt numFmtId="167" formatCode="_-[$R$-416]\ * #,##0.00_-;\-[$R$-416]\ * #,##0.00_-;_-[$R$-416]\ * &quot;-&quot;??_-;_-@_-"/>
    <numFmt numFmtId="168" formatCode="0.0000%"/>
    <numFmt numFmtId="169" formatCode="_-&quot;R$&quot;\ * #,##0.0000_-;\-&quot;R$&quot;\ * #,##0.0000_-;_-&quot;R$&quot;\ * &quot;-&quot;????_-;_-@_-"/>
    <numFmt numFmtId="170" formatCode="_-[$$-409]* #,##0.00_ ;_-[$$-409]* \-#,##0.00\ ;_-[$$-409]* &quot;-&quot;??_ ;_-@_ "/>
    <numFmt numFmtId="171" formatCode="0.000%"/>
    <numFmt numFmtId="172" formatCode="0.0000000000000000%"/>
    <numFmt numFmtId="173" formatCode="#,##0.00_ ;[Red]\-#,##0.00\ "/>
    <numFmt numFmtId="174" formatCode="0.0%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sz val="11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Gill Sans MT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Aptos"/>
      <family val="2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Aptos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ptos Display"/>
      <family val="2"/>
    </font>
    <font>
      <b/>
      <sz val="11"/>
      <color theme="1"/>
      <name val="Gill Sans MT"/>
      <family val="2"/>
    </font>
    <font>
      <b/>
      <sz val="12"/>
      <color theme="1"/>
      <name val="Gill Sans MT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79998168889431442"/>
        <bgColor theme="9" tint="0.79998168889431442"/>
      </patternFill>
    </fill>
  </fills>
  <borders count="3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</borders>
  <cellStyleXfs count="12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9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7" fillId="4" borderId="0" xfId="0" applyFont="1" applyFill="1"/>
    <xf numFmtId="164" fontId="7" fillId="4" borderId="0" xfId="0" applyNumberFormat="1" applyFont="1" applyFill="1"/>
    <xf numFmtId="10" fontId="7" fillId="4" borderId="0" xfId="1" applyNumberFormat="1" applyFont="1" applyFill="1"/>
    <xf numFmtId="0" fontId="8" fillId="5" borderId="0" xfId="0" applyFont="1" applyFill="1"/>
    <xf numFmtId="164" fontId="8" fillId="5" borderId="0" xfId="0" applyNumberFormat="1" applyFont="1" applyFill="1"/>
    <xf numFmtId="10" fontId="8" fillId="5" borderId="0" xfId="1" applyNumberFormat="1" applyFont="1" applyFill="1"/>
    <xf numFmtId="0" fontId="4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0" fontId="0" fillId="0" borderId="0" xfId="1" applyNumberFormat="1" applyFont="1"/>
    <xf numFmtId="0" fontId="11" fillId="6" borderId="0" xfId="0" applyFont="1" applyFill="1" applyAlignment="1">
      <alignment horizontal="center"/>
    </xf>
    <xf numFmtId="0" fontId="11" fillId="6" borderId="0" xfId="0" applyFont="1" applyFill="1"/>
    <xf numFmtId="164" fontId="11" fillId="6" borderId="0" xfId="0" applyNumberFormat="1" applyFont="1" applyFill="1"/>
    <xf numFmtId="10" fontId="11" fillId="6" borderId="0" xfId="1" applyNumberFormat="1" applyFont="1" applyFill="1"/>
    <xf numFmtId="10" fontId="0" fillId="4" borderId="0" xfId="1" applyNumberFormat="1" applyFont="1" applyFill="1"/>
    <xf numFmtId="0" fontId="0" fillId="0" borderId="0" xfId="0" quotePrefix="1" applyAlignment="1">
      <alignment horizontal="center"/>
    </xf>
    <xf numFmtId="0" fontId="9" fillId="5" borderId="0" xfId="0" applyFont="1" applyFill="1" applyAlignment="1">
      <alignment horizontal="right"/>
    </xf>
    <xf numFmtId="0" fontId="9" fillId="0" borderId="0" xfId="0" applyFont="1"/>
    <xf numFmtId="10" fontId="0" fillId="0" borderId="0" xfId="0" applyNumberFormat="1"/>
    <xf numFmtId="164" fontId="0" fillId="4" borderId="0" xfId="0" applyNumberFormat="1" applyFill="1"/>
    <xf numFmtId="0" fontId="12" fillId="6" borderId="0" xfId="0" applyFont="1" applyFill="1" applyAlignment="1">
      <alignment horizontal="center"/>
    </xf>
    <xf numFmtId="0" fontId="12" fillId="6" borderId="0" xfId="0" applyFont="1" applyFill="1"/>
    <xf numFmtId="164" fontId="12" fillId="6" borderId="0" xfId="0" applyNumberFormat="1" applyFont="1" applyFill="1"/>
    <xf numFmtId="10" fontId="12" fillId="6" borderId="0" xfId="1" applyNumberFormat="1" applyFont="1" applyFill="1"/>
    <xf numFmtId="165" fontId="0" fillId="4" borderId="0" xfId="2" applyNumberFormat="1" applyFont="1" applyFill="1"/>
    <xf numFmtId="166" fontId="0" fillId="4" borderId="0" xfId="1" applyNumberFormat="1" applyFont="1" applyFill="1"/>
    <xf numFmtId="10" fontId="0" fillId="0" borderId="0" xfId="1" applyNumberFormat="1" applyFont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9" fontId="4" fillId="0" borderId="2" xfId="0" applyNumberFormat="1" applyFont="1" applyBorder="1" applyAlignment="1">
      <alignment horizontal="center"/>
    </xf>
    <xf numFmtId="43" fontId="0" fillId="0" borderId="0" xfId="2" applyFont="1" applyFill="1"/>
    <xf numFmtId="164" fontId="7" fillId="8" borderId="0" xfId="0" applyNumberFormat="1" applyFont="1" applyFill="1"/>
    <xf numFmtId="0" fontId="0" fillId="8" borderId="0" xfId="0" applyFill="1"/>
    <xf numFmtId="0" fontId="4" fillId="7" borderId="4" xfId="0" applyFont="1" applyFill="1" applyBorder="1" applyAlignment="1">
      <alignment horizontal="center"/>
    </xf>
    <xf numFmtId="0" fontId="9" fillId="8" borderId="0" xfId="0" applyFont="1" applyFill="1"/>
    <xf numFmtId="0" fontId="0" fillId="0" borderId="0" xfId="0" quotePrefix="1"/>
    <xf numFmtId="8" fontId="0" fillId="4" borderId="0" xfId="3" applyNumberFormat="1" applyFont="1" applyFill="1"/>
    <xf numFmtId="164" fontId="0" fillId="8" borderId="0" xfId="0" applyNumberFormat="1" applyFill="1"/>
    <xf numFmtId="164" fontId="11" fillId="8" borderId="0" xfId="0" applyNumberFormat="1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44" fontId="10" fillId="0" borderId="0" xfId="0" applyNumberFormat="1" applyFont="1"/>
    <xf numFmtId="0" fontId="5" fillId="0" borderId="0" xfId="0" applyFont="1" applyAlignment="1">
      <alignment horizontal="center"/>
    </xf>
    <xf numFmtId="0" fontId="9" fillId="0" borderId="1" xfId="0" applyFont="1" applyBorder="1"/>
    <xf numFmtId="0" fontId="9" fillId="0" borderId="3" xfId="0" applyFont="1" applyBorder="1"/>
    <xf numFmtId="166" fontId="0" fillId="0" borderId="0" xfId="1" applyNumberFormat="1" applyFont="1" applyFill="1"/>
    <xf numFmtId="44" fontId="0" fillId="0" borderId="0" xfId="3" applyFont="1" applyFill="1"/>
    <xf numFmtId="164" fontId="0" fillId="0" borderId="0" xfId="2" applyNumberFormat="1" applyFont="1" applyFill="1"/>
    <xf numFmtId="2" fontId="0" fillId="0" borderId="0" xfId="1" applyNumberFormat="1" applyFont="1" applyFill="1"/>
    <xf numFmtId="10" fontId="0" fillId="0" borderId="3" xfId="0" applyNumberFormat="1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0" fillId="10" borderId="0" xfId="0" applyFont="1" applyFill="1"/>
    <xf numFmtId="0" fontId="14" fillId="10" borderId="0" xfId="0" applyFont="1" applyFill="1"/>
    <xf numFmtId="0" fontId="0" fillId="10" borderId="0" xfId="0" applyFill="1"/>
    <xf numFmtId="10" fontId="0" fillId="10" borderId="0" xfId="1" applyNumberFormat="1" applyFont="1" applyFill="1"/>
    <xf numFmtId="167" fontId="9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0" fontId="0" fillId="0" borderId="0" xfId="1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44" fontId="11" fillId="0" borderId="0" xfId="3" applyFont="1" applyAlignment="1">
      <alignment horizontal="left" vertical="center"/>
    </xf>
    <xf numFmtId="44" fontId="9" fillId="0" borderId="0" xfId="3" applyFont="1" applyAlignment="1">
      <alignment horizontal="left" vertical="center"/>
    </xf>
    <xf numFmtId="0" fontId="7" fillId="9" borderId="4" xfId="0" applyFont="1" applyFill="1" applyBorder="1"/>
    <xf numFmtId="0" fontId="7" fillId="0" borderId="4" xfId="0" applyFont="1" applyBorder="1"/>
    <xf numFmtId="0" fontId="7" fillId="8" borderId="4" xfId="0" applyFont="1" applyFill="1" applyBorder="1"/>
    <xf numFmtId="0" fontId="7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left"/>
    </xf>
    <xf numFmtId="0" fontId="20" fillId="0" borderId="0" xfId="4" applyFont="1"/>
    <xf numFmtId="9" fontId="20" fillId="0" borderId="0" xfId="5" applyFont="1"/>
    <xf numFmtId="0" fontId="21" fillId="11" borderId="5" xfId="4" applyFont="1" applyFill="1" applyBorder="1"/>
    <xf numFmtId="0" fontId="22" fillId="11" borderId="5" xfId="4" applyFont="1" applyFill="1" applyBorder="1"/>
    <xf numFmtId="9" fontId="20" fillId="0" borderId="0" xfId="5" applyFont="1" applyBorder="1"/>
    <xf numFmtId="0" fontId="23" fillId="11" borderId="6" xfId="4" applyFont="1" applyFill="1" applyBorder="1"/>
    <xf numFmtId="0" fontId="21" fillId="11" borderId="6" xfId="4" applyFont="1" applyFill="1" applyBorder="1"/>
    <xf numFmtId="0" fontId="21" fillId="11" borderId="7" xfId="4" applyFont="1" applyFill="1" applyBorder="1"/>
    <xf numFmtId="0" fontId="22" fillId="11" borderId="7" xfId="4" applyFont="1" applyFill="1" applyBorder="1"/>
    <xf numFmtId="0" fontId="21" fillId="11" borderId="6" xfId="4" applyFont="1" applyFill="1" applyBorder="1" applyAlignment="1">
      <alignment horizontal="left" vertical="center"/>
    </xf>
    <xf numFmtId="0" fontId="21" fillId="11" borderId="6" xfId="4" applyFont="1" applyFill="1" applyBorder="1" applyAlignment="1">
      <alignment vertical="justify"/>
    </xf>
    <xf numFmtId="0" fontId="21" fillId="11" borderId="8" xfId="4" applyFont="1" applyFill="1" applyBorder="1"/>
    <xf numFmtId="164" fontId="21" fillId="11" borderId="8" xfId="6" applyNumberFormat="1" applyFont="1" applyFill="1" applyBorder="1"/>
    <xf numFmtId="164" fontId="20" fillId="0" borderId="0" xfId="4" applyNumberFormat="1" applyFont="1"/>
    <xf numFmtId="10" fontId="20" fillId="0" borderId="0" xfId="5" applyNumberFormat="1" applyFont="1"/>
    <xf numFmtId="0" fontId="22" fillId="0" borderId="0" xfId="4" applyFont="1" applyAlignment="1">
      <alignment horizontal="center"/>
    </xf>
    <xf numFmtId="44" fontId="24" fillId="0" borderId="0" xfId="6" applyFont="1" applyFill="1" applyBorder="1"/>
    <xf numFmtId="44" fontId="24" fillId="0" borderId="0" xfId="3" applyFont="1" applyFill="1" applyBorder="1"/>
    <xf numFmtId="44" fontId="20" fillId="0" borderId="0" xfId="4" applyNumberFormat="1" applyFont="1"/>
    <xf numFmtId="0" fontId="23" fillId="12" borderId="0" xfId="4" applyFont="1" applyFill="1" applyAlignment="1">
      <alignment horizontal="center"/>
    </xf>
    <xf numFmtId="0" fontId="20" fillId="12" borderId="0" xfId="4" applyFont="1" applyFill="1"/>
    <xf numFmtId="9" fontId="20" fillId="12" borderId="0" xfId="5" applyFont="1" applyFill="1" applyBorder="1"/>
    <xf numFmtId="10" fontId="20" fillId="12" borderId="0" xfId="5" applyNumberFormat="1" applyFont="1" applyFill="1"/>
    <xf numFmtId="164" fontId="25" fillId="0" borderId="0" xfId="3" applyNumberFormat="1" applyFont="1" applyFill="1" applyBorder="1" applyAlignment="1">
      <alignment vertical="center"/>
    </xf>
    <xf numFmtId="0" fontId="22" fillId="12" borderId="9" xfId="4" applyFont="1" applyFill="1" applyBorder="1"/>
    <xf numFmtId="0" fontId="22" fillId="12" borderId="8" xfId="4" applyFont="1" applyFill="1" applyBorder="1" applyAlignment="1">
      <alignment horizontal="center" vertical="center"/>
    </xf>
    <xf numFmtId="0" fontId="20" fillId="12" borderId="8" xfId="4" applyFont="1" applyFill="1" applyBorder="1"/>
    <xf numFmtId="0" fontId="20" fillId="12" borderId="9" xfId="4" applyFont="1" applyFill="1" applyBorder="1"/>
    <xf numFmtId="0" fontId="20" fillId="12" borderId="0" xfId="4" applyFont="1" applyFill="1" applyAlignment="1">
      <alignment horizontal="center"/>
    </xf>
    <xf numFmtId="0" fontId="26" fillId="13" borderId="10" xfId="4" applyFont="1" applyFill="1" applyBorder="1"/>
    <xf numFmtId="164" fontId="26" fillId="13" borderId="11" xfId="4" applyNumberFormat="1" applyFont="1" applyFill="1" applyBorder="1"/>
    <xf numFmtId="10" fontId="26" fillId="13" borderId="12" xfId="5" applyNumberFormat="1" applyFont="1" applyFill="1" applyBorder="1"/>
    <xf numFmtId="168" fontId="20" fillId="4" borderId="0" xfId="5" applyNumberFormat="1" applyFont="1" applyFill="1"/>
    <xf numFmtId="9" fontId="20" fillId="4" borderId="0" xfId="5" applyFont="1" applyFill="1"/>
    <xf numFmtId="0" fontId="20" fillId="12" borderId="13" xfId="4" applyFont="1" applyFill="1" applyBorder="1"/>
    <xf numFmtId="170" fontId="20" fillId="12" borderId="6" xfId="7" applyNumberFormat="1" applyFont="1" applyFill="1" applyBorder="1"/>
    <xf numFmtId="0" fontId="20" fillId="12" borderId="6" xfId="4" applyFont="1" applyFill="1" applyBorder="1"/>
    <xf numFmtId="167" fontId="20" fillId="12" borderId="6" xfId="4" applyNumberFormat="1" applyFont="1" applyFill="1" applyBorder="1" applyAlignment="1">
      <alignment horizontal="right"/>
    </xf>
    <xf numFmtId="167" fontId="20" fillId="12" borderId="0" xfId="4" applyNumberFormat="1" applyFont="1" applyFill="1" applyAlignment="1">
      <alignment horizontal="right"/>
    </xf>
    <xf numFmtId="0" fontId="26" fillId="13" borderId="13" xfId="4" applyFont="1" applyFill="1" applyBorder="1"/>
    <xf numFmtId="164" fontId="26" fillId="13" borderId="0" xfId="4" applyNumberFormat="1" applyFont="1" applyFill="1"/>
    <xf numFmtId="10" fontId="26" fillId="13" borderId="14" xfId="5" applyNumberFormat="1" applyFont="1" applyFill="1" applyBorder="1"/>
    <xf numFmtId="168" fontId="20" fillId="4" borderId="0" xfId="4" applyNumberFormat="1" applyFont="1" applyFill="1"/>
    <xf numFmtId="9" fontId="20" fillId="4" borderId="0" xfId="4" applyNumberFormat="1" applyFont="1" applyFill="1"/>
    <xf numFmtId="44" fontId="20" fillId="0" borderId="0" xfId="3" applyFont="1" applyFill="1" applyBorder="1"/>
    <xf numFmtId="43" fontId="20" fillId="0" borderId="0" xfId="2" applyFont="1"/>
    <xf numFmtId="0" fontId="22" fillId="12" borderId="9" xfId="4" applyFont="1" applyFill="1" applyBorder="1" applyAlignment="1">
      <alignment horizontal="left"/>
    </xf>
    <xf numFmtId="170" fontId="20" fillId="12" borderId="8" xfId="4" applyNumberFormat="1" applyFont="1" applyFill="1" applyBorder="1"/>
    <xf numFmtId="0" fontId="20" fillId="12" borderId="15" xfId="4" applyFont="1" applyFill="1" applyBorder="1"/>
    <xf numFmtId="167" fontId="20" fillId="12" borderId="8" xfId="4" applyNumberFormat="1" applyFont="1" applyFill="1" applyBorder="1"/>
    <xf numFmtId="167" fontId="20" fillId="12" borderId="0" xfId="4" applyNumberFormat="1" applyFont="1" applyFill="1"/>
    <xf numFmtId="164" fontId="20" fillId="12" borderId="8" xfId="6" applyNumberFormat="1" applyFont="1" applyFill="1" applyBorder="1"/>
    <xf numFmtId="164" fontId="20" fillId="12" borderId="0" xfId="6" applyNumberFormat="1" applyFont="1" applyFill="1" applyBorder="1"/>
    <xf numFmtId="0" fontId="27" fillId="14" borderId="9" xfId="4" applyFont="1" applyFill="1" applyBorder="1"/>
    <xf numFmtId="164" fontId="27" fillId="14" borderId="15" xfId="4" applyNumberFormat="1" applyFont="1" applyFill="1" applyBorder="1"/>
    <xf numFmtId="10" fontId="27" fillId="14" borderId="16" xfId="5" applyNumberFormat="1" applyFont="1" applyFill="1" applyBorder="1"/>
    <xf numFmtId="0" fontId="20" fillId="5" borderId="0" xfId="4" applyFont="1" applyFill="1"/>
    <xf numFmtId="9" fontId="20" fillId="5" borderId="0" xfId="4" applyNumberFormat="1" applyFont="1" applyFill="1"/>
    <xf numFmtId="0" fontId="22" fillId="12" borderId="15" xfId="4" applyFont="1" applyFill="1" applyBorder="1" applyAlignment="1">
      <alignment horizontal="left"/>
    </xf>
    <xf numFmtId="0" fontId="22" fillId="12" borderId="16" xfId="4" applyFont="1" applyFill="1" applyBorder="1" applyAlignment="1">
      <alignment horizontal="left"/>
    </xf>
    <xf numFmtId="167" fontId="22" fillId="12" borderId="7" xfId="4" applyNumberFormat="1" applyFont="1" applyFill="1" applyBorder="1"/>
    <xf numFmtId="167" fontId="22" fillId="12" borderId="0" xfId="4" applyNumberFormat="1" applyFont="1" applyFill="1"/>
    <xf numFmtId="10" fontId="28" fillId="12" borderId="0" xfId="5" applyNumberFormat="1" applyFont="1" applyFill="1" applyBorder="1" applyAlignment="1">
      <alignment horizontal="center"/>
    </xf>
    <xf numFmtId="0" fontId="20" fillId="4" borderId="0" xfId="4" applyFont="1" applyFill="1"/>
    <xf numFmtId="0" fontId="22" fillId="12" borderId="8" xfId="4" applyFont="1" applyFill="1" applyBorder="1" applyAlignment="1">
      <alignment horizontal="center"/>
    </xf>
    <xf numFmtId="44" fontId="20" fillId="12" borderId="6" xfId="6" applyFont="1" applyFill="1" applyBorder="1"/>
    <xf numFmtId="169" fontId="24" fillId="0" borderId="0" xfId="4" applyNumberFormat="1" applyFont="1"/>
    <xf numFmtId="44" fontId="20" fillId="12" borderId="0" xfId="4" applyNumberFormat="1" applyFont="1" applyFill="1"/>
    <xf numFmtId="0" fontId="29" fillId="15" borderId="13" xfId="4" applyFont="1" applyFill="1" applyBorder="1"/>
    <xf numFmtId="164" fontId="29" fillId="15" borderId="0" xfId="4" applyNumberFormat="1" applyFont="1" applyFill="1"/>
    <xf numFmtId="10" fontId="29" fillId="15" borderId="14" xfId="5" applyNumberFormat="1" applyFont="1" applyFill="1" applyBorder="1"/>
    <xf numFmtId="0" fontId="20" fillId="6" borderId="0" xfId="4" applyFont="1" applyFill="1"/>
    <xf numFmtId="9" fontId="22" fillId="6" borderId="0" xfId="4" applyNumberFormat="1" applyFont="1" applyFill="1"/>
    <xf numFmtId="0" fontId="30" fillId="15" borderId="9" xfId="4" applyFont="1" applyFill="1" applyBorder="1"/>
    <xf numFmtId="164" fontId="30" fillId="15" borderId="15" xfId="4" applyNumberFormat="1" applyFont="1" applyFill="1" applyBorder="1"/>
    <xf numFmtId="10" fontId="30" fillId="15" borderId="16" xfId="5" applyNumberFormat="1" applyFont="1" applyFill="1" applyBorder="1"/>
    <xf numFmtId="44" fontId="22" fillId="12" borderId="8" xfId="4" applyNumberFormat="1" applyFont="1" applyFill="1" applyBorder="1"/>
    <xf numFmtId="0" fontId="31" fillId="12" borderId="0" xfId="4" applyFont="1" applyFill="1"/>
    <xf numFmtId="164" fontId="18" fillId="12" borderId="0" xfId="4" applyNumberFormat="1" applyFont="1" applyFill="1"/>
    <xf numFmtId="9" fontId="18" fillId="12" borderId="0" xfId="5" applyFont="1" applyFill="1" applyBorder="1"/>
    <xf numFmtId="167" fontId="20" fillId="0" borderId="0" xfId="4" applyNumberFormat="1" applyFont="1"/>
    <xf numFmtId="0" fontId="31" fillId="0" borderId="0" xfId="4" applyFont="1"/>
    <xf numFmtId="164" fontId="18" fillId="0" borderId="0" xfId="4" applyNumberFormat="1" applyFont="1"/>
    <xf numFmtId="9" fontId="18" fillId="0" borderId="0" xfId="5" applyFont="1" applyFill="1" applyBorder="1"/>
    <xf numFmtId="9" fontId="20" fillId="0" borderId="0" xfId="1" applyFont="1"/>
    <xf numFmtId="164" fontId="34" fillId="5" borderId="0" xfId="0" applyNumberFormat="1" applyFont="1" applyFill="1"/>
    <xf numFmtId="10" fontId="3" fillId="4" borderId="0" xfId="1" applyNumberFormat="1" applyFont="1" applyFill="1"/>
    <xf numFmtId="9" fontId="0" fillId="0" borderId="0" xfId="1" applyFont="1"/>
    <xf numFmtId="44" fontId="20" fillId="0" borderId="0" xfId="3" applyFont="1"/>
    <xf numFmtId="164" fontId="35" fillId="0" borderId="0" xfId="3" applyNumberFormat="1" applyFont="1" applyFill="1" applyBorder="1" applyAlignment="1">
      <alignment vertical="center"/>
    </xf>
    <xf numFmtId="0" fontId="35" fillId="0" borderId="0" xfId="4" applyFont="1"/>
    <xf numFmtId="44" fontId="20" fillId="0" borderId="17" xfId="3" applyFont="1" applyBorder="1"/>
    <xf numFmtId="44" fontId="20" fillId="0" borderId="18" xfId="3" applyFont="1" applyBorder="1"/>
    <xf numFmtId="169" fontId="20" fillId="0" borderId="17" xfId="4" applyNumberFormat="1" applyFont="1" applyBorder="1"/>
    <xf numFmtId="44" fontId="20" fillId="0" borderId="18" xfId="4" applyNumberFormat="1" applyFont="1" applyBorder="1"/>
    <xf numFmtId="169" fontId="20" fillId="0" borderId="18" xfId="4" applyNumberFormat="1" applyFont="1" applyBorder="1"/>
    <xf numFmtId="169" fontId="20" fillId="0" borderId="19" xfId="4" applyNumberFormat="1" applyFont="1" applyBorder="1"/>
    <xf numFmtId="0" fontId="20" fillId="0" borderId="19" xfId="4" applyFont="1" applyBorder="1"/>
    <xf numFmtId="0" fontId="22" fillId="0" borderId="8" xfId="4" applyFont="1" applyBorder="1"/>
    <xf numFmtId="44" fontId="22" fillId="0" borderId="8" xfId="3" applyFont="1" applyFill="1" applyBorder="1"/>
    <xf numFmtId="44" fontId="22" fillId="0" borderId="12" xfId="3" applyFont="1" applyBorder="1"/>
    <xf numFmtId="0" fontId="20" fillId="0" borderId="5" xfId="4" applyFont="1" applyBorder="1"/>
    <xf numFmtId="0" fontId="20" fillId="0" borderId="7" xfId="4" applyFont="1" applyBorder="1"/>
    <xf numFmtId="9" fontId="0" fillId="0" borderId="0" xfId="0" applyNumberFormat="1"/>
    <xf numFmtId="164" fontId="7" fillId="0" borderId="0" xfId="0" applyNumberFormat="1" applyFont="1"/>
    <xf numFmtId="44" fontId="0" fillId="0" borderId="0" xfId="0" applyNumberFormat="1"/>
    <xf numFmtId="9" fontId="0" fillId="0" borderId="0" xfId="1" applyFont="1" applyFill="1" applyBorder="1"/>
    <xf numFmtId="44" fontId="33" fillId="0" borderId="0" xfId="3" applyFont="1" applyFill="1" applyBorder="1"/>
    <xf numFmtId="164" fontId="33" fillId="0" borderId="0" xfId="0" applyNumberFormat="1" applyFont="1"/>
    <xf numFmtId="164" fontId="33" fillId="0" borderId="0" xfId="3" applyNumberFormat="1" applyFont="1" applyFill="1" applyBorder="1"/>
    <xf numFmtId="0" fontId="32" fillId="0" borderId="0" xfId="0" applyFont="1"/>
    <xf numFmtId="164" fontId="32" fillId="0" borderId="0" xfId="0" applyNumberFormat="1" applyFont="1"/>
    <xf numFmtId="0" fontId="2" fillId="0" borderId="0" xfId="8"/>
    <xf numFmtId="8" fontId="38" fillId="17" borderId="23" xfId="8" applyNumberFormat="1" applyFont="1" applyFill="1" applyBorder="1" applyAlignment="1">
      <alignment horizontal="center" vertical="center"/>
    </xf>
    <xf numFmtId="0" fontId="39" fillId="8" borderId="27" xfId="8" applyFont="1" applyFill="1" applyBorder="1" applyAlignment="1">
      <alignment horizontal="center"/>
    </xf>
    <xf numFmtId="0" fontId="39" fillId="10" borderId="28" xfId="8" applyFont="1" applyFill="1" applyBorder="1" applyAlignment="1">
      <alignment horizontal="center"/>
    </xf>
    <xf numFmtId="0" fontId="40" fillId="18" borderId="29" xfId="8" applyFont="1" applyFill="1" applyBorder="1"/>
    <xf numFmtId="44" fontId="40" fillId="18" borderId="4" xfId="9" applyFont="1" applyFill="1" applyBorder="1"/>
    <xf numFmtId="10" fontId="40" fillId="18" borderId="27" xfId="10" applyNumberFormat="1" applyFont="1" applyFill="1" applyBorder="1"/>
    <xf numFmtId="0" fontId="39" fillId="8" borderId="28" xfId="8" applyFont="1" applyFill="1" applyBorder="1" applyAlignment="1">
      <alignment horizontal="center"/>
    </xf>
    <xf numFmtId="0" fontId="40" fillId="19" borderId="29" xfId="8" applyFont="1" applyFill="1" applyBorder="1"/>
    <xf numFmtId="44" fontId="40" fillId="19" borderId="4" xfId="9" applyFont="1" applyFill="1" applyBorder="1"/>
    <xf numFmtId="10" fontId="40" fillId="19" borderId="27" xfId="10" applyNumberFormat="1" applyFont="1" applyFill="1" applyBorder="1"/>
    <xf numFmtId="0" fontId="2" fillId="8" borderId="4" xfId="8" applyFill="1" applyBorder="1" applyAlignment="1">
      <alignment horizontal="center"/>
    </xf>
    <xf numFmtId="0" fontId="39" fillId="16" borderId="28" xfId="8" applyFont="1" applyFill="1" applyBorder="1" applyAlignment="1">
      <alignment horizontal="center"/>
    </xf>
    <xf numFmtId="0" fontId="40" fillId="16" borderId="29" xfId="8" applyFont="1" applyFill="1" applyBorder="1"/>
    <xf numFmtId="44" fontId="40" fillId="20" borderId="4" xfId="9" applyFont="1" applyFill="1" applyBorder="1"/>
    <xf numFmtId="10" fontId="40" fillId="20" borderId="27" xfId="10" applyNumberFormat="1" applyFont="1" applyFill="1" applyBorder="1"/>
    <xf numFmtId="44" fontId="2" fillId="8" borderId="0" xfId="8" applyNumberFormat="1" applyFill="1"/>
    <xf numFmtId="44" fontId="36" fillId="17" borderId="4" xfId="8" applyNumberFormat="1" applyFont="1" applyFill="1" applyBorder="1"/>
    <xf numFmtId="10" fontId="0" fillId="8" borderId="0" xfId="10" applyNumberFormat="1" applyFont="1" applyFill="1"/>
    <xf numFmtId="0" fontId="39" fillId="21" borderId="28" xfId="8" applyFont="1" applyFill="1" applyBorder="1" applyAlignment="1">
      <alignment horizontal="center"/>
    </xf>
    <xf numFmtId="0" fontId="40" fillId="22" borderId="29" xfId="8" applyFont="1" applyFill="1" applyBorder="1"/>
    <xf numFmtId="44" fontId="40" fillId="22" borderId="4" xfId="9" applyFont="1" applyFill="1" applyBorder="1"/>
    <xf numFmtId="10" fontId="40" fillId="22" borderId="27" xfId="10" applyNumberFormat="1" applyFont="1" applyFill="1" applyBorder="1"/>
    <xf numFmtId="44" fontId="36" fillId="10" borderId="4" xfId="8" applyNumberFormat="1" applyFont="1" applyFill="1" applyBorder="1"/>
    <xf numFmtId="0" fontId="40" fillId="10" borderId="29" xfId="8" applyFont="1" applyFill="1" applyBorder="1"/>
    <xf numFmtId="44" fontId="2" fillId="10" borderId="4" xfId="8" applyNumberFormat="1" applyFill="1" applyBorder="1"/>
    <xf numFmtId="0" fontId="38" fillId="8" borderId="28" xfId="8" applyFont="1" applyFill="1" applyBorder="1"/>
    <xf numFmtId="0" fontId="41" fillId="19" borderId="29" xfId="8" applyFont="1" applyFill="1" applyBorder="1"/>
    <xf numFmtId="44" fontId="41" fillId="19" borderId="4" xfId="9" applyFont="1" applyFill="1" applyBorder="1"/>
    <xf numFmtId="10" fontId="41" fillId="19" borderId="27" xfId="10" applyNumberFormat="1" applyFont="1" applyFill="1" applyBorder="1"/>
    <xf numFmtId="10" fontId="42" fillId="21" borderId="28" xfId="10" applyNumberFormat="1" applyFont="1" applyFill="1" applyBorder="1" applyAlignment="1">
      <alignment horizontal="center"/>
    </xf>
    <xf numFmtId="0" fontId="39" fillId="8" borderId="28" xfId="8" applyFont="1" applyFill="1" applyBorder="1" applyAlignment="1">
      <alignment horizontal="right"/>
    </xf>
    <xf numFmtId="43" fontId="0" fillId="0" borderId="0" xfId="11" applyFont="1"/>
    <xf numFmtId="10" fontId="2" fillId="0" borderId="0" xfId="8" applyNumberFormat="1"/>
    <xf numFmtId="10" fontId="42" fillId="23" borderId="28" xfId="10" applyNumberFormat="1" applyFont="1" applyFill="1" applyBorder="1" applyAlignment="1">
      <alignment horizontal="center"/>
    </xf>
    <xf numFmtId="0" fontId="40" fillId="24" borderId="29" xfId="8" applyFont="1" applyFill="1" applyBorder="1"/>
    <xf numFmtId="44" fontId="40" fillId="24" borderId="4" xfId="9" applyFont="1" applyFill="1" applyBorder="1"/>
    <xf numFmtId="10" fontId="40" fillId="24" borderId="27" xfId="10" applyNumberFormat="1" applyFont="1" applyFill="1" applyBorder="1"/>
    <xf numFmtId="10" fontId="0" fillId="0" borderId="0" xfId="10" applyNumberFormat="1" applyFont="1"/>
    <xf numFmtId="0" fontId="41" fillId="22" borderId="29" xfId="8" applyFont="1" applyFill="1" applyBorder="1"/>
    <xf numFmtId="10" fontId="41" fillId="22" borderId="27" xfId="10" applyNumberFormat="1" applyFont="1" applyFill="1" applyBorder="1"/>
    <xf numFmtId="43" fontId="0" fillId="8" borderId="0" xfId="11" applyFont="1" applyFill="1"/>
    <xf numFmtId="171" fontId="0" fillId="8" borderId="0" xfId="10" applyNumberFormat="1" applyFont="1" applyFill="1"/>
    <xf numFmtId="0" fontId="38" fillId="8" borderId="33" xfId="8" applyFont="1" applyFill="1" applyBorder="1"/>
    <xf numFmtId="0" fontId="41" fillId="19" borderId="30" xfId="8" applyFont="1" applyFill="1" applyBorder="1"/>
    <xf numFmtId="44" fontId="41" fillId="19" borderId="31" xfId="9" applyFont="1" applyFill="1" applyBorder="1"/>
    <xf numFmtId="10" fontId="41" fillId="19" borderId="32" xfId="10" applyNumberFormat="1" applyFont="1" applyFill="1" applyBorder="1"/>
    <xf numFmtId="172" fontId="2" fillId="8" borderId="0" xfId="8" applyNumberFormat="1" applyFill="1"/>
    <xf numFmtId="173" fontId="2" fillId="8" borderId="0" xfId="8" applyNumberFormat="1" applyFill="1"/>
    <xf numFmtId="10" fontId="2" fillId="8" borderId="0" xfId="8" applyNumberFormat="1" applyFill="1"/>
    <xf numFmtId="0" fontId="36" fillId="8" borderId="0" xfId="8" applyFont="1" applyFill="1"/>
    <xf numFmtId="168" fontId="0" fillId="0" borderId="0" xfId="10" applyNumberFormat="1" applyFont="1"/>
    <xf numFmtId="172" fontId="0" fillId="8" borderId="0" xfId="10" applyNumberFormat="1" applyFont="1" applyFill="1"/>
    <xf numFmtId="4" fontId="2" fillId="0" borderId="0" xfId="8" applyNumberFormat="1"/>
    <xf numFmtId="9" fontId="0" fillId="0" borderId="0" xfId="1" applyFont="1" applyFill="1"/>
    <xf numFmtId="44" fontId="20" fillId="0" borderId="20" xfId="3" applyFont="1" applyBorder="1"/>
    <xf numFmtId="44" fontId="32" fillId="0" borderId="4" xfId="3" applyFont="1" applyBorder="1"/>
    <xf numFmtId="44" fontId="32" fillId="0" borderId="4" xfId="0" applyNumberFormat="1" applyFont="1" applyBorder="1"/>
    <xf numFmtId="164" fontId="11" fillId="0" borderId="4" xfId="0" applyNumberFormat="1" applyFont="1" applyBorder="1"/>
    <xf numFmtId="164" fontId="9" fillId="0" borderId="4" xfId="0" applyNumberFormat="1" applyFont="1" applyBorder="1"/>
    <xf numFmtId="44" fontId="20" fillId="0" borderId="4" xfId="3" applyFont="1" applyBorder="1"/>
    <xf numFmtId="0" fontId="22" fillId="0" borderId="4" xfId="4" applyFont="1" applyBorder="1"/>
    <xf numFmtId="164" fontId="33" fillId="0" borderId="4" xfId="0" applyNumberFormat="1" applyFont="1" applyBorder="1"/>
    <xf numFmtId="44" fontId="33" fillId="0" borderId="4" xfId="3" applyFont="1" applyBorder="1"/>
    <xf numFmtId="0" fontId="9" fillId="10" borderId="0" xfId="0" applyFont="1" applyFill="1"/>
    <xf numFmtId="164" fontId="0" fillId="10" borderId="0" xfId="0" applyNumberFormat="1" applyFill="1"/>
    <xf numFmtId="0" fontId="0" fillId="10" borderId="0" xfId="0" applyFill="1" applyAlignment="1">
      <alignment vertical="center"/>
    </xf>
    <xf numFmtId="9" fontId="0" fillId="10" borderId="0" xfId="0" applyNumberFormat="1" applyFill="1"/>
    <xf numFmtId="0" fontId="22" fillId="0" borderId="10" xfId="4" applyFont="1" applyBorder="1"/>
    <xf numFmtId="0" fontId="22" fillId="0" borderId="12" xfId="4" applyFont="1" applyBorder="1"/>
    <xf numFmtId="164" fontId="23" fillId="0" borderId="4" xfId="4" applyNumberFormat="1" applyFont="1" applyBorder="1"/>
    <xf numFmtId="0" fontId="23" fillId="0" borderId="4" xfId="4" applyFont="1" applyBorder="1"/>
    <xf numFmtId="44" fontId="21" fillId="0" borderId="4" xfId="3" applyFont="1" applyFill="1" applyBorder="1"/>
    <xf numFmtId="44" fontId="23" fillId="0" borderId="4" xfId="3" applyFont="1" applyBorder="1"/>
    <xf numFmtId="44" fontId="23" fillId="0" borderId="4" xfId="4" applyNumberFormat="1" applyFont="1" applyBorder="1"/>
    <xf numFmtId="0" fontId="0" fillId="0" borderId="4" xfId="0" applyBorder="1"/>
    <xf numFmtId="0" fontId="7" fillId="0" borderId="26" xfId="0" applyFont="1" applyBorder="1"/>
    <xf numFmtId="164" fontId="11" fillId="0" borderId="26" xfId="0" applyNumberFormat="1" applyFont="1" applyBorder="1"/>
    <xf numFmtId="0" fontId="0" fillId="0" borderId="4" xfId="1" applyNumberFormat="1" applyFont="1" applyBorder="1"/>
    <xf numFmtId="164" fontId="0" fillId="0" borderId="4" xfId="0" applyNumberFormat="1" applyBorder="1"/>
    <xf numFmtId="164" fontId="7" fillId="0" borderId="4" xfId="0" applyNumberFormat="1" applyFont="1" applyBorder="1"/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left" vertical="center" wrapText="1"/>
    </xf>
    <xf numFmtId="0" fontId="0" fillId="16" borderId="0" xfId="0" applyFill="1" applyAlignment="1">
      <alignment horizontal="right" vertical="center"/>
    </xf>
    <xf numFmtId="164" fontId="0" fillId="16" borderId="0" xfId="0" applyNumberFormat="1" applyFill="1" applyAlignment="1">
      <alignment horizontal="right" vertical="center"/>
    </xf>
    <xf numFmtId="164" fontId="9" fillId="16" borderId="0" xfId="0" applyNumberFormat="1" applyFont="1" applyFill="1" applyAlignment="1">
      <alignment horizontal="right" vertical="center"/>
    </xf>
    <xf numFmtId="9" fontId="20" fillId="0" borderId="0" xfId="4" applyNumberFormat="1" applyFont="1"/>
    <xf numFmtId="44" fontId="0" fillId="0" borderId="4" xfId="3" applyFont="1" applyBorder="1"/>
    <xf numFmtId="0" fontId="9" fillId="0" borderId="4" xfId="0" applyFont="1" applyBorder="1" applyAlignment="1">
      <alignment horizontal="center"/>
    </xf>
    <xf numFmtId="44" fontId="0" fillId="0" borderId="4" xfId="0" applyNumberFormat="1" applyBorder="1"/>
    <xf numFmtId="9" fontId="20" fillId="0" borderId="0" xfId="5" applyFont="1" applyFill="1" applyBorder="1"/>
    <xf numFmtId="0" fontId="22" fillId="0" borderId="0" xfId="4" applyFont="1"/>
    <xf numFmtId="9" fontId="22" fillId="0" borderId="0" xfId="5" applyFont="1" applyFill="1" applyBorder="1"/>
    <xf numFmtId="0" fontId="21" fillId="0" borderId="0" xfId="4" applyFont="1"/>
    <xf numFmtId="9" fontId="21" fillId="0" borderId="0" xfId="5" applyFont="1" applyFill="1" applyBorder="1"/>
    <xf numFmtId="0" fontId="20" fillId="0" borderId="4" xfId="4" applyFont="1" applyBorder="1"/>
    <xf numFmtId="0" fontId="6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5" fillId="3" borderId="0" xfId="1" applyNumberFormat="1" applyFont="1" applyFill="1" applyAlignment="1">
      <alignment horizontal="center"/>
    </xf>
    <xf numFmtId="0" fontId="22" fillId="0" borderId="0" xfId="4" applyFont="1" applyAlignment="1">
      <alignment horizontal="center" vertical="center"/>
    </xf>
    <xf numFmtId="0" fontId="37" fillId="16" borderId="10" xfId="8" applyFont="1" applyFill="1" applyBorder="1" applyAlignment="1">
      <alignment horizontal="center" vertical="center" wrapText="1"/>
    </xf>
    <xf numFmtId="0" fontId="37" fillId="16" borderId="11" xfId="8" applyFont="1" applyFill="1" applyBorder="1" applyAlignment="1">
      <alignment horizontal="center" vertical="center" wrapText="1"/>
    </xf>
    <xf numFmtId="0" fontId="37" fillId="16" borderId="12" xfId="8" applyFont="1" applyFill="1" applyBorder="1" applyAlignment="1">
      <alignment horizontal="center" vertical="center" wrapText="1"/>
    </xf>
    <xf numFmtId="0" fontId="38" fillId="17" borderId="5" xfId="8" applyFont="1" applyFill="1" applyBorder="1" applyAlignment="1">
      <alignment horizontal="center" vertical="center"/>
    </xf>
    <xf numFmtId="0" fontId="38" fillId="17" borderId="24" xfId="8" applyFont="1" applyFill="1" applyBorder="1" applyAlignment="1">
      <alignment horizontal="center" vertical="center"/>
    </xf>
    <xf numFmtId="0" fontId="38" fillId="17" borderId="21" xfId="8" applyFont="1" applyFill="1" applyBorder="1" applyAlignment="1">
      <alignment horizontal="center" vertical="center"/>
    </xf>
    <xf numFmtId="0" fontId="38" fillId="17" borderId="25" xfId="8" applyFont="1" applyFill="1" applyBorder="1" applyAlignment="1">
      <alignment horizontal="center" vertical="center"/>
    </xf>
    <xf numFmtId="0" fontId="38" fillId="17" borderId="22" xfId="8" applyFont="1" applyFill="1" applyBorder="1" applyAlignment="1">
      <alignment horizontal="center" vertical="center"/>
    </xf>
    <xf numFmtId="0" fontId="38" fillId="17" borderId="26" xfId="8" applyFont="1" applyFill="1" applyBorder="1" applyAlignment="1">
      <alignment horizontal="center" vertical="center"/>
    </xf>
    <xf numFmtId="0" fontId="36" fillId="17" borderId="4" xfId="8" applyFont="1" applyFill="1" applyBorder="1" applyAlignment="1">
      <alignment horizontal="center"/>
    </xf>
    <xf numFmtId="0" fontId="2" fillId="8" borderId="4" xfId="8" applyFill="1" applyBorder="1"/>
    <xf numFmtId="0" fontId="36" fillId="17" borderId="4" xfId="8" applyFont="1" applyFill="1" applyBorder="1"/>
    <xf numFmtId="9" fontId="36" fillId="17" borderId="4" xfId="8" applyNumberFormat="1" applyFont="1" applyFill="1" applyBorder="1" applyAlignment="1">
      <alignment horizontal="right"/>
    </xf>
    <xf numFmtId="0" fontId="1" fillId="10" borderId="4" xfId="8" applyFont="1" applyFill="1" applyBorder="1"/>
    <xf numFmtId="0" fontId="1" fillId="21" borderId="4" xfId="8" applyFont="1" applyFill="1" applyBorder="1"/>
    <xf numFmtId="0" fontId="36" fillId="23" borderId="4" xfId="8" applyFont="1" applyFill="1" applyBorder="1"/>
    <xf numFmtId="44" fontId="36" fillId="23" borderId="4" xfId="8" applyNumberFormat="1" applyFont="1" applyFill="1" applyBorder="1"/>
    <xf numFmtId="10" fontId="36" fillId="23" borderId="4" xfId="10" applyNumberFormat="1" applyFont="1" applyFill="1" applyBorder="1" applyAlignment="1">
      <alignment horizontal="right"/>
    </xf>
    <xf numFmtId="0" fontId="2" fillId="21" borderId="4" xfId="8" applyFill="1" applyBorder="1"/>
    <xf numFmtId="44" fontId="1" fillId="21" borderId="4" xfId="8" applyNumberFormat="1" applyFont="1" applyFill="1" applyBorder="1"/>
    <xf numFmtId="0" fontId="22" fillId="0" borderId="0" xfId="4" applyFont="1" applyBorder="1"/>
    <xf numFmtId="0" fontId="20" fillId="0" borderId="0" xfId="4" applyFont="1" applyBorder="1"/>
    <xf numFmtId="44" fontId="20" fillId="0" borderId="0" xfId="3" applyFont="1" applyBorder="1"/>
    <xf numFmtId="8" fontId="36" fillId="0" borderId="4" xfId="8" applyNumberFormat="1" applyFont="1" applyBorder="1"/>
    <xf numFmtId="44" fontId="36" fillId="0" borderId="4" xfId="3" applyFont="1" applyBorder="1"/>
    <xf numFmtId="9" fontId="2" fillId="0" borderId="0" xfId="1" applyFont="1"/>
    <xf numFmtId="10" fontId="2" fillId="0" borderId="0" xfId="1" applyNumberFormat="1" applyFont="1"/>
    <xf numFmtId="10" fontId="20" fillId="0" borderId="0" xfId="1" applyNumberFormat="1" applyFont="1" applyBorder="1"/>
    <xf numFmtId="9" fontId="2" fillId="0" borderId="0" xfId="8" applyNumberFormat="1"/>
    <xf numFmtId="44" fontId="36" fillId="10" borderId="4" xfId="3" applyFont="1" applyFill="1" applyBorder="1" applyAlignment="1">
      <alignment horizontal="right"/>
    </xf>
    <xf numFmtId="44" fontId="36" fillId="0" borderId="4" xfId="8" applyNumberFormat="1" applyFont="1" applyBorder="1"/>
    <xf numFmtId="44" fontId="36" fillId="21" borderId="4" xfId="3" applyFont="1" applyFill="1" applyBorder="1"/>
    <xf numFmtId="9" fontId="0" fillId="25" borderId="34" xfId="1" applyFont="1" applyFill="1" applyBorder="1"/>
    <xf numFmtId="9" fontId="9" fillId="0" borderId="35" xfId="1" applyFont="1" applyBorder="1"/>
    <xf numFmtId="174" fontId="0" fillId="0" borderId="0" xfId="0" applyNumberFormat="1"/>
    <xf numFmtId="9" fontId="0" fillId="0" borderId="0" xfId="0" applyNumberFormat="1" applyFont="1"/>
    <xf numFmtId="10" fontId="0" fillId="16" borderId="0" xfId="1" applyNumberFormat="1" applyFont="1" applyFill="1"/>
    <xf numFmtId="174" fontId="0" fillId="16" borderId="0" xfId="0" applyNumberFormat="1" applyFill="1"/>
  </cellXfs>
  <cellStyles count="12">
    <cellStyle name="Moeda" xfId="3" builtinId="4"/>
    <cellStyle name="Moeda 2" xfId="6" xr:uid="{D5FD9FE5-9120-42B2-932F-A6532425B7E3}"/>
    <cellStyle name="Moeda 6" xfId="9" xr:uid="{C1D0519D-CD7E-4797-B7B0-6399F625A0F0}"/>
    <cellStyle name="Normal" xfId="0" builtinId="0"/>
    <cellStyle name="Normal 2" xfId="4" xr:uid="{A9E7C3D6-D21B-4AE2-B35C-FC4DC5D702D5}"/>
    <cellStyle name="Normal 3" xfId="8" xr:uid="{3578901C-BB4C-4100-A7A0-E350A9FB1E7E}"/>
    <cellStyle name="Porcentagem" xfId="1" builtinId="5"/>
    <cellStyle name="Porcentagem 2" xfId="5" xr:uid="{8554CA93-12E1-4BE1-B4DA-2352741E0D7B}"/>
    <cellStyle name="Porcentagem 3" xfId="10" xr:uid="{9FD4AB08-5953-4A76-809C-357A1AC2004A}"/>
    <cellStyle name="Vírgula" xfId="2" builtinId="3"/>
    <cellStyle name="Vírgula 2" xfId="7" xr:uid="{58C3491F-DFC5-4D6C-90E4-A15CBA84A12F}"/>
    <cellStyle name="Vírgula 3" xfId="11" xr:uid="{F7072A61-0FFE-4794-9613-3DC315961CF2}"/>
  </cellStyles>
  <dxfs count="208"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alignment horizontal="right" vertical="center" textRotation="0" wrapText="0" indent="0" justifyLastLine="0" shrinkToFit="0" readingOrder="0"/>
    </dxf>
    <dxf>
      <numFmt numFmtId="164" formatCode="&quot;R$&quot;\ #,##0.00"/>
      <alignment horizontal="right" vertical="center" textRotation="0" wrapText="0" indent="0" justifyLastLine="0" shrinkToFit="0" readingOrder="0"/>
    </dxf>
    <dxf>
      <numFmt numFmtId="164" formatCode="&quot;R$&quot;\ #,##0.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64" formatCode="&quot;R$&quot;\ #,##0.00"/>
    </dxf>
    <dxf>
      <numFmt numFmtId="164" formatCode="&quot;R$&quot;\ 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4" formatCode="0.00%"/>
      <border diagonalUp="0" diagonalDown="0" outline="0">
        <left/>
        <right/>
        <top style="thin">
          <color theme="9" tint="0.39997558519241921"/>
        </top>
        <bottom/>
      </border>
    </dxf>
    <dxf>
      <numFmt numFmtId="14" formatCode="0.00%"/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64" formatCode="&quot;R$&quot;\ #,##0.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/>
      </font>
      <numFmt numFmtId="164" formatCode="&quot;R$&quot;\ 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R$&quot;\ #,##0.00"/>
      <alignment horizontal="right" vertical="center" textRotation="0" wrapText="0" indent="0" justifyLastLine="0" shrinkToFit="0" readingOrder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7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194733</xdr:colOff>
      <xdr:row>0</xdr:row>
      <xdr:rowOff>0</xdr:rowOff>
    </xdr:from>
    <xdr:to>
      <xdr:col>1</xdr:col>
      <xdr:colOff>2915083</xdr:colOff>
      <xdr:row>1</xdr:row>
      <xdr:rowOff>1058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5CDBEE-66F3-4AC9-8F1E-F6A872BD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33" y="0"/>
          <a:ext cx="3089920" cy="693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33132</xdr:colOff>
      <xdr:row>0</xdr:row>
      <xdr:rowOff>24849</xdr:rowOff>
    </xdr:from>
    <xdr:to>
      <xdr:col>1</xdr:col>
      <xdr:colOff>2582799</xdr:colOff>
      <xdr:row>1</xdr:row>
      <xdr:rowOff>342902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9605E4-507E-48F7-9259-3A70F8B1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7" t="35947" r="4902" b="32900"/>
        <a:stretch/>
      </xdr:blipFill>
      <xdr:spPr>
        <a:xfrm>
          <a:off x="33132" y="24849"/>
          <a:ext cx="3669807" cy="7219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592E7-97F0-4ADA-B9D1-369BE313EDD8}" name="tbInciso" displayName="tbInciso" ref="A1:A10" totalsRowShown="0">
  <autoFilter ref="A1:A10" xr:uid="{1D5592E7-97F0-4ADA-B9D1-369BE313EDD8}"/>
  <tableColumns count="1">
    <tableColumn id="1" xr3:uid="{AFFE820E-11A5-454B-A82A-BCFBDA604C2F}" name="Rubric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6CF4F-907D-41C5-830E-90B134D66E3B}" name="tbParametro" displayName="tbParametro" ref="C1:D15" totalsRowShown="0" dataDxfId="207">
  <autoFilter ref="C1:D15" xr:uid="{49F6CF4F-907D-41C5-830E-90B134D66E3B}"/>
  <tableColumns count="2">
    <tableColumn id="1" xr3:uid="{C5CB4FED-C737-420A-90DD-57D1B9EDE21D}" name="Parametro" dataDxfId="206"/>
    <tableColumn id="2" xr3:uid="{D5C5DB0C-9163-4FDF-8A10-18283F50208C}" name="Valor" dataDxfId="20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487E58-A46D-424E-BA02-5AE437E16A5A}" name="tbTipoRH" displayName="tbTipoRH" ref="F1:F4" totalsRowShown="0">
  <autoFilter ref="F1:F4" xr:uid="{41487E58-A46D-424E-BA02-5AE437E16A5A}"/>
  <tableColumns count="1">
    <tableColumn id="1" xr3:uid="{1EB85502-80F0-41C0-B6F5-28B40459B25F}" name="Tipo de RH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6B3493-922F-4C12-A992-584ACA4D4178}" name="tbFOPAG" displayName="tbFOPAG" ref="A1:E334" totalsRowShown="0" headerRowDxfId="204" dataDxfId="203">
  <autoFilter ref="A1:E334" xr:uid="{9D6B3493-922F-4C12-A992-584ACA4D4178}"/>
  <tableColumns count="5">
    <tableColumn id="1" xr3:uid="{ECB7323B-BAB5-4C3F-B5E3-68F89E596A6F}" name="Nome" dataDxfId="202"/>
    <tableColumn id="2" xr3:uid="{E1DC4E03-284F-4010-B07E-3287C539E7D6}" name="Cargo" dataDxfId="201"/>
    <tableColumn id="3" xr3:uid="{7374FC38-02DC-464D-99DE-51F788AC0ECB}" name="Custo Total" dataDxfId="200"/>
    <tableColumn id="4" xr3:uid="{7337B562-6E06-41FE-8542-9A6BF0AAE3D7}" name="Mês Reajuste" dataDxfId="199"/>
    <tableColumn id="5" xr3:uid="{1A2A1A41-2BFB-4D86-A740-C949ED3C9BA6}" name="% Reajuste" dataDxfId="19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2A746D-88E6-45E0-90F1-844F97AF2868}" name="tbEquipe" displayName="tbEquipe" ref="A1:I1547" totalsRowCount="1" dataDxfId="197">
  <autoFilter ref="A1:I1546" xr:uid="{532A746D-88E6-45E0-90F1-844F97AF2868}"/>
  <tableColumns count="9">
    <tableColumn id="1" xr3:uid="{08572091-EB43-4971-A7C2-10330F23A36D}" name="Nome" dataDxfId="13"/>
    <tableColumn id="8" xr3:uid="{87A54DB8-E7B8-4A54-9458-05133F927735}" name="Cargo" dataDxfId="12" totalsRowDxfId="4">
      <calculatedColumnFormula>IFERROR(VLOOKUP(tbEquipe[[#This Row],[Nome]],tbFOPAG[[Nome]:[Cargo]],2,0),"&lt;Selecionar Nome&gt;")</calculatedColumnFormula>
    </tableColumn>
    <tableColumn id="2" xr3:uid="{929A2560-E9FB-4677-93D9-D2E5C7798932}" name="Tipo" dataDxfId="11"/>
    <tableColumn id="3" xr3:uid="{42E2412E-EB7A-45F1-BD83-EB6E7D3C7B75}" name="Mês" dataDxfId="10"/>
    <tableColumn id="5" xr3:uid="{A9556528-434C-4250-A7DC-22D9DBCA5FF3}" name="Horas" dataDxfId="9">
      <calculatedColumnFormula>176*tbEquipe[[#This Row],[Alocação]]</calculatedColumnFormula>
    </tableColumn>
    <tableColumn id="4" xr3:uid="{F7D2AF4E-C4C6-48EE-A7CE-239C79F8A0B1}" name="Alocação" dataDxfId="8" totalsRowDxfId="3" dataCellStyle="Porcentagem"/>
    <tableColumn id="6" xr3:uid="{DDCC8C6F-330B-42AD-9572-078790574EEF}" name="Custo" totalsRowFunction="custom" dataDxfId="7" totalsRowDxfId="2">
      <calculatedColumnFormula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calculatedColumnFormula>
      <totalsRowFormula>SUBTOTAL(9,G2:G207)</totalsRowFormula>
    </tableColumn>
    <tableColumn id="9" xr3:uid="{B2DA85A8-89D2-4C08-B852-864C5B764598}" name="Justificativa" dataDxfId="6" totalsRowDxfId="1">
      <calculatedColumnFormula>(VLOOKUP(tbEquipe[[#This Row],[Nome]],tbFOPAG[[Nome]:[Custo Total]],3,0)*tbEquipe[[#This Row],[Alocação]]*IF(OR(tbEquipe[[#This Row],[Mês]]&gt;Configuração!$D$7,tbEquipe[[#This Row],[Mês]]&gt;=VLOOKUP(tbEquipe[[#This Row],[Nome]],DBFolha!A2:E920,4,0)),(1+(VLOOKUP(tbEquipe[[#This Row],[Nome]],DBFolha!A2:E920,5,0))),1))</calculatedColumnFormula>
    </tableColumn>
    <tableColumn id="7" xr3:uid="{3402FDC5-3C64-43F2-9544-AC8E6142B5F1}" name="Vlr R$" totalsRowFunction="custom" dataDxfId="5" totalsRowDxfId="0">
      <totalsRowFormula>SUBTOTAL(9,I2:I207)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BE6B88-1E7A-4DEF-A561-608C40DD09BC}" name="tbRubrica" displayName="tbRubrica" ref="A1:J659" totalsRowCount="1" headerRowDxfId="196" dataDxfId="195" totalsRowDxfId="194">
  <autoFilter ref="A1:J658" xr:uid="{C5BE6B88-1E7A-4DEF-A561-608C40DD09BC}"/>
  <tableColumns count="10">
    <tableColumn id="1" xr3:uid="{562F3AF6-5937-430B-9FC1-ABE2343BACB1}" name="Rubrica" dataDxfId="193" totalsRowDxfId="23"/>
    <tableColumn id="2" xr3:uid="{38F4511A-02AF-4733-8A7E-D7D6075327F1}" name="Descrição" dataDxfId="192" totalsRowDxfId="22"/>
    <tableColumn id="3" xr3:uid="{7C5A8807-A3DE-4C83-8E95-FF6717AE1AE1}" name="Justificativa" dataDxfId="191" totalsRowDxfId="21"/>
    <tableColumn id="4" xr3:uid="{951D4F23-81CC-4C82-A4A9-9D82126B875C}" name="Mês" dataDxfId="190" totalsRowDxfId="20"/>
    <tableColumn id="5" xr3:uid="{8E951688-5DD7-47C2-A816-3BB7C9CFD84A}" name="Quantidade" dataDxfId="189" totalsRowDxfId="19"/>
    <tableColumn id="6" xr3:uid="{6E4F5904-4073-4AAB-BC44-4D3B568DDB27}" name="Custo Unitário" dataDxfId="188" totalsRowDxfId="18"/>
    <tableColumn id="9" xr3:uid="{6BDD08F9-04E0-44CF-B80C-24DA87A06672}" name="Frete" dataDxfId="187" totalsRowDxfId="17"/>
    <tableColumn id="7" xr3:uid="{1F4D236E-2134-4D70-B86C-AEE28E34C917}" name="Custo Total" totalsRowFunction="sum" dataDxfId="186" totalsRowDxfId="16">
      <calculatedColumnFormula>E2*F2</calculatedColumnFormula>
    </tableColumn>
    <tableColumn id="8" xr3:uid="{69225B05-101D-4C76-9B17-752704968845}" name="Observações" dataDxfId="185" totalsRowDxfId="15"/>
    <tableColumn id="10" xr3:uid="{3E6A314C-8E60-44DF-AB4A-4DBD6FA595C4}" name="Coluna1" dataDxfId="184" totalsRowDxfId="1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2C9EE6-1AB8-4CE9-8B08-A0528AC7269B}" name="tbRHI" displayName="tbRHI" ref="A1:AW8" totalsRowCount="1" headerRowDxfId="183" dataDxfId="181" totalsRowDxfId="179" headerRowBorderDxfId="182" tableBorderDxfId="180" totalsRowBorderDxfId="178">
  <autoFilter ref="A1:AW7" xr:uid="{E92C9EE6-1AB8-4CE9-8B08-A0528AC7269B}"/>
  <tableColumns count="49">
    <tableColumn id="1" xr3:uid="{58D6C705-9450-4A71-994D-A1AEEE4525D9}" name="Nome" dataDxfId="177" totalsRowDxfId="176"/>
    <tableColumn id="2" xr3:uid="{41B57006-A3DC-455D-BC58-472A62C8E254}" name="Cargo" totalsRowFunction="count" dataDxfId="175" totalsRowDxfId="174"/>
    <tableColumn id="3" xr3:uid="{54B5822B-3898-4B4B-B60A-741F1434DE7F}" name="Custo" totalsRowFunction="sum" dataDxfId="173" totalsRowDxfId="172"/>
    <tableColumn id="4" xr3:uid="{D7E1BE44-4182-4777-937F-056E4146DE65}" name="1" totalsRowFunction="sum" dataDxfId="171" totalsRowDxfId="170">
      <calculatedColumnFormula>(tbRHI[[#This Row],[Custo]]/SUM(tbRHI[Custo]))*SUMIFS(tbEquipe[Custo],tbEquipe[Mês],D$1)*Configuração!$D$10</calculatedColumnFormula>
    </tableColumn>
    <tableColumn id="27" xr3:uid="{65A53E21-21CB-420E-A930-9013C6908BF5}" name="%Aloc1" totalsRowFunction="sum" dataDxfId="169" totalsRowDxfId="168">
      <calculatedColumnFormula>tbRHI[[#This Row],[1]]/tbRHI[[#This Row],[Custo]]</calculatedColumnFormula>
    </tableColumn>
    <tableColumn id="5" xr3:uid="{F42E4280-E255-4BF4-B9CA-D54BE7F5288C}" name="2" totalsRowFunction="sum" dataDxfId="167" totalsRowDxfId="166">
      <calculatedColumnFormula>(tbRHI[[#This Row],[Custo]]/SUM(tbRHI[Custo]))*SUMIFS(tbEquipe[Custo],tbEquipe[Mês],F$1)*Configuração!$D$10</calculatedColumnFormula>
    </tableColumn>
    <tableColumn id="28" xr3:uid="{2A0803BA-EFAD-4762-B76A-E8375736CB75}" name="%Aloc2" totalsRowFunction="sum" dataDxfId="165" totalsRowDxfId="164">
      <calculatedColumnFormula>tbRHI[[#This Row],[2]]/tbRHI[[#This Row],[Custo]]</calculatedColumnFormula>
    </tableColumn>
    <tableColumn id="6" xr3:uid="{32B5A552-3BF8-462D-9BD7-1D51ED306D54}" name="3" totalsRowFunction="sum" dataDxfId="163" totalsRowDxfId="162">
      <calculatedColumnFormula>(tbRHI[[#This Row],[Custo]]/SUM(tbRHI[Custo]))*SUMIFS(tbEquipe[Custo],tbEquipe[Mês],H$1)*Configuração!$D$10</calculatedColumnFormula>
    </tableColumn>
    <tableColumn id="29" xr3:uid="{B06AB747-2DAC-4387-B3B1-8D20C8B77C7D}" name="%Aloc3" totalsRowFunction="sum" dataDxfId="161" totalsRowDxfId="160" dataCellStyle="Porcentagem">
      <calculatedColumnFormula>tbRHI[[#This Row],[3]]/tbRHI[[#This Row],[Custo]]</calculatedColumnFormula>
    </tableColumn>
    <tableColumn id="7" xr3:uid="{1C6D9209-581F-452B-8B9E-6A23F0E9A359}" name="4" totalsRowFunction="sum" dataDxfId="159" totalsRowDxfId="158">
      <calculatedColumnFormula>(tbRHI[[#This Row],[Custo]]/SUM(tbRHI[Custo]))*SUMIFS(tbEquipe[Custo],tbEquipe[Mês],J$1)*Configuração!$D$10</calculatedColumnFormula>
    </tableColumn>
    <tableColumn id="30" xr3:uid="{120B5748-1F44-4138-B8FA-DC664FBA5D30}" name="%Aloc4" totalsRowFunction="sum" dataDxfId="157" totalsRowDxfId="156" dataCellStyle="Porcentagem">
      <calculatedColumnFormula>tbRHI[[#This Row],[4]]/tbRHI[[#This Row],[Custo]]</calculatedColumnFormula>
    </tableColumn>
    <tableColumn id="8" xr3:uid="{2801273D-85E3-48CD-B7B0-811F850E6778}" name="5" totalsRowFunction="sum" dataDxfId="155" totalsRowDxfId="154">
      <calculatedColumnFormula>(tbRHI[[#This Row],[Custo]]/SUM(tbRHI[Custo]))*SUMIFS(tbEquipe[Custo],tbEquipe[Mês],L$1)*Configuração!$D$10</calculatedColumnFormula>
    </tableColumn>
    <tableColumn id="31" xr3:uid="{D47EDA25-5EDC-41F4-8096-F2EB7B2E6B34}" name="%Aloc5" totalsRowFunction="sum" dataDxfId="153" totalsRowDxfId="152" dataCellStyle="Porcentagem">
      <calculatedColumnFormula>tbRHI[[#This Row],[5]]/tbRHI[[#This Row],[Custo]]</calculatedColumnFormula>
    </tableColumn>
    <tableColumn id="9" xr3:uid="{9F99FEE6-5B77-4854-87C3-F7320EB5D2A7}" name="6" totalsRowFunction="sum" dataDxfId="151" totalsRowDxfId="150">
      <calculatedColumnFormula>(tbRHI[[#This Row],[Custo]]/SUM(tbRHI[Custo]))*SUMIFS(tbEquipe[Custo],tbEquipe[Mês],N$1)*Configuração!$D$10</calculatedColumnFormula>
    </tableColumn>
    <tableColumn id="32" xr3:uid="{D2B37418-38A1-4FC7-8DA4-70C4AAA1E50F}" name="%Aloc6" totalsRowFunction="sum" dataDxfId="149" totalsRowDxfId="148" dataCellStyle="Porcentagem">
      <calculatedColumnFormula>tbRHI[[#This Row],[6]]/tbRHI[[#This Row],[Custo]]</calculatedColumnFormula>
    </tableColumn>
    <tableColumn id="10" xr3:uid="{A199999C-69F8-44B5-ACA9-2A7D6F354D46}" name="7" totalsRowFunction="sum" dataDxfId="147" totalsRowDxfId="146">
      <calculatedColumnFormula>(tbRHI[[#This Row],[Custo]]/SUM(tbRHI[Custo]))*SUMIFS(tbEquipe[Custo],tbEquipe[Mês],P$1)*Configuração!$D$10</calculatedColumnFormula>
    </tableColumn>
    <tableColumn id="33" xr3:uid="{27C7B68F-FFAF-4B6D-99B8-7BCCF467AF78}" name="%Aloc7" totalsRowFunction="sum" dataDxfId="145" totalsRowDxfId="144" dataCellStyle="Porcentagem">
      <calculatedColumnFormula>tbRHI[[#This Row],[7]]/tbRHI[[#This Row],[Custo]]</calculatedColumnFormula>
    </tableColumn>
    <tableColumn id="11" xr3:uid="{772B317B-4805-4546-ABCF-966E50BE08DF}" name="8" totalsRowFunction="sum" dataDxfId="143" totalsRowDxfId="142">
      <calculatedColumnFormula>(tbRHI[[#This Row],[Custo]]/SUM(tbRHI[Custo]))*SUMIFS(tbEquipe[Custo],tbEquipe[Mês],R$1)*Configuração!$D$10</calculatedColumnFormula>
    </tableColumn>
    <tableColumn id="34" xr3:uid="{71189D7F-A822-4C37-A34F-8B43DF5F9F66}" name="%Aloc8" totalsRowFunction="sum" dataDxfId="141" totalsRowDxfId="140" dataCellStyle="Porcentagem">
      <calculatedColumnFormula>tbRHI[[#This Row],[8]]/tbRHI[[#This Row],[Custo]]</calculatedColumnFormula>
    </tableColumn>
    <tableColumn id="12" xr3:uid="{F773C3E7-EDB6-4BE0-B979-7A9CDA9053CF}" name="9" totalsRowFunction="sum" dataDxfId="139" totalsRowDxfId="138">
      <calculatedColumnFormula>(tbRHI[[#This Row],[Custo]]/SUM(tbRHI[Custo]))*SUMIFS(tbEquipe[Custo],tbEquipe[Mês],T$1)*Configuração!$D$10</calculatedColumnFormula>
    </tableColumn>
    <tableColumn id="35" xr3:uid="{600CDD1F-7B10-4A1F-8AF2-51A837A1F888}" name="%Aloc9" totalsRowFunction="sum" dataDxfId="137" totalsRowDxfId="136" dataCellStyle="Porcentagem">
      <calculatedColumnFormula>tbRHI[[#This Row],[9]]/tbRHI[[#This Row],[Custo]]</calculatedColumnFormula>
    </tableColumn>
    <tableColumn id="13" xr3:uid="{3283EB15-CE3F-4843-9335-3A70B97788AF}" name="10" totalsRowFunction="sum" dataDxfId="135" totalsRowDxfId="134">
      <calculatedColumnFormula>(tbRHI[[#This Row],[Custo]]/SUM(tbRHI[Custo]))*SUMIFS(tbEquipe[Custo],tbEquipe[Mês],V$1)*Configuração!$D$10</calculatedColumnFormula>
    </tableColumn>
    <tableColumn id="36" xr3:uid="{A5307A28-A369-40D8-A41D-33BD2A40DB39}" name="%Aloc10" totalsRowFunction="sum" dataDxfId="133" totalsRowDxfId="132" dataCellStyle="Porcentagem">
      <calculatedColumnFormula>tbRHI[[#This Row],[10]]/tbRHI[[#This Row],[Custo]]</calculatedColumnFormula>
    </tableColumn>
    <tableColumn id="14" xr3:uid="{55326C7E-43C9-4419-81E8-F1B6C048B7C2}" name="11" totalsRowFunction="sum" dataDxfId="131" totalsRowDxfId="130">
      <calculatedColumnFormula>(tbRHI[[#This Row],[Custo]]/SUM(tbRHI[Custo]))*SUMIFS(tbEquipe[Custo],tbEquipe[Mês],X$1)*Configuração!$D$10</calculatedColumnFormula>
    </tableColumn>
    <tableColumn id="37" xr3:uid="{8BD4F023-53AC-4B03-89DD-32E202284EB0}" name="%Aloc11" totalsRowFunction="sum" dataDxfId="129" totalsRowDxfId="128" dataCellStyle="Porcentagem">
      <calculatedColumnFormula>tbRHI[[#This Row],[11]]/tbRHI[[#This Row],[Custo]]</calculatedColumnFormula>
    </tableColumn>
    <tableColumn id="15" xr3:uid="{999698C7-8DA8-44CF-A19D-5C09B968E733}" name="12" totalsRowFunction="sum" dataDxfId="127" totalsRowDxfId="126">
      <calculatedColumnFormula>(tbRHI[[#This Row],[Custo]]/SUM(tbRHI[Custo]))*SUMIFS(tbEquipe[Custo],tbEquipe[Mês],Z$1)*Configuração!$D$10</calculatedColumnFormula>
    </tableColumn>
    <tableColumn id="38" xr3:uid="{2B406CA3-4F60-4061-8FCA-6E37EE65E4E2}" name="%Aloc12" totalsRowFunction="sum" dataDxfId="125" totalsRowDxfId="124" dataCellStyle="Porcentagem">
      <calculatedColumnFormula>tbRHI[[#This Row],[12]]/tbRHI[[#This Row],[Custo]]</calculatedColumnFormula>
    </tableColumn>
    <tableColumn id="16" xr3:uid="{C3537C7E-C695-4065-A833-D33B0694496C}" name="13" totalsRowFunction="sum" dataDxfId="123" totalsRowDxfId="122">
      <calculatedColumnFormula>(tbRHI[[#This Row],[Custo]]/SUM(tbRHI[Custo]))*SUMIFS(tbEquipe[Custo],tbEquipe[Mês],AB$1)*Configuração!$D$10</calculatedColumnFormula>
    </tableColumn>
    <tableColumn id="39" xr3:uid="{C4FC7423-0E4F-4974-8679-3EF48D60E4AD}" name="%Aloc13" totalsRowFunction="sum" dataDxfId="121" totalsRowDxfId="120" dataCellStyle="Porcentagem">
      <calculatedColumnFormula>tbRHI[[#This Row],[13]]/tbRHI[[#This Row],[Custo]]</calculatedColumnFormula>
    </tableColumn>
    <tableColumn id="17" xr3:uid="{3CEFA536-6669-4EE9-98F3-14C12040059D}" name="14" totalsRowFunction="sum" dataDxfId="119" totalsRowDxfId="118">
      <calculatedColumnFormula>(tbRHI[[#This Row],[Custo]]/SUM(tbRHI[Custo]))*SUMIFS(tbEquipe[Custo],tbEquipe[Mês],AD$1)*Configuração!$D$10</calculatedColumnFormula>
    </tableColumn>
    <tableColumn id="40" xr3:uid="{DA7EC618-D425-4BC5-A803-67A9D2A16F43}" name="%Aloc14" totalsRowFunction="sum" dataDxfId="117" totalsRowDxfId="116" dataCellStyle="Porcentagem">
      <calculatedColumnFormula>tbRHI[[#This Row],[14]]/tbRHI[[#This Row],[Custo]]</calculatedColumnFormula>
    </tableColumn>
    <tableColumn id="18" xr3:uid="{AD83D681-35F1-4FD8-9EC1-F94334AEDD53}" name="15" totalsRowFunction="sum" dataDxfId="115" totalsRowDxfId="114">
      <calculatedColumnFormula>(tbRHI[[#This Row],[Custo]]/SUM(tbRHI[Custo]))*SUMIFS(tbEquipe[Custo],tbEquipe[Mês],AF$1)*Configuração!$D$10</calculatedColumnFormula>
    </tableColumn>
    <tableColumn id="41" xr3:uid="{C02BD1ED-454E-474F-AF57-9A8BCB99E358}" name="%Aloc15" totalsRowFunction="sum" dataDxfId="113" totalsRowDxfId="112" dataCellStyle="Porcentagem">
      <calculatedColumnFormula>tbRHI[[#This Row],[15]]/tbRHI[[#This Row],[Custo]]</calculatedColumnFormula>
    </tableColumn>
    <tableColumn id="19" xr3:uid="{378A744B-D3A0-44F1-BDE0-A0898C72E490}" name="16" totalsRowFunction="sum" dataDxfId="111" totalsRowDxfId="110">
      <calculatedColumnFormula>(tbRHI[[#This Row],[Custo]]/SUM(tbRHI[Custo]))*SUMIFS(tbEquipe[Custo],tbEquipe[Mês],AH$1)*Configuração!$D$10</calculatedColumnFormula>
    </tableColumn>
    <tableColumn id="42" xr3:uid="{6448BD06-2909-45B9-8712-C48ACE954990}" name="%Aloc16" totalsRowFunction="sum" dataDxfId="109" totalsRowDxfId="108" dataCellStyle="Porcentagem">
      <calculatedColumnFormula>tbRHI[[#This Row],[16]]/tbRHI[[#This Row],[Custo]]</calculatedColumnFormula>
    </tableColumn>
    <tableColumn id="20" xr3:uid="{FBAC6590-7784-42A5-A83C-C4DC4F29250D}" name="17" totalsRowFunction="sum" dataDxfId="107" totalsRowDxfId="106">
      <calculatedColumnFormula>(tbRHI[[#This Row],[Custo]]/SUM(tbRHI[Custo]))*SUMIFS(tbEquipe[Custo],tbEquipe[Mês],AJ$1)*Configuração!$D$10</calculatedColumnFormula>
    </tableColumn>
    <tableColumn id="43" xr3:uid="{8D6A3776-A25E-4156-9A58-A72D24BADEF2}" name="%Aloc17" totalsRowFunction="sum" dataDxfId="105" totalsRowDxfId="104" dataCellStyle="Porcentagem">
      <calculatedColumnFormula>tbRHI[[#This Row],[17]]/tbRHI[[#This Row],[Custo]]</calculatedColumnFormula>
    </tableColumn>
    <tableColumn id="21" xr3:uid="{779F2D48-B324-42FC-8D88-F40AE659AD03}" name="18" totalsRowFunction="sum" dataDxfId="103" totalsRowDxfId="102">
      <calculatedColumnFormula>(tbRHI[[#This Row],[Custo]]/SUM(tbRHI[Custo]))*SUMIFS(tbEquipe[Custo],tbEquipe[Mês],AL$1)*Configuração!$D$10</calculatedColumnFormula>
    </tableColumn>
    <tableColumn id="44" xr3:uid="{DC2518AA-7453-428A-A1D3-3D9A91A6D60A}" name="%Aloc18" totalsRowFunction="sum" dataDxfId="101" totalsRowDxfId="100" dataCellStyle="Porcentagem">
      <calculatedColumnFormula>tbRHI[[#This Row],[18]]/tbRHI[[#This Row],[Custo]]</calculatedColumnFormula>
    </tableColumn>
    <tableColumn id="22" xr3:uid="{8F0FF23E-100F-45DB-B105-06961756DD6F}" name="19" totalsRowFunction="sum" dataDxfId="99" totalsRowDxfId="98">
      <calculatedColumnFormula>(tbRHI[[#This Row],[Custo]]/SUM(tbRHI[Custo]))*SUMIFS(tbEquipe[Custo],tbEquipe[Mês],AN$1)*Configuração!$D$10</calculatedColumnFormula>
    </tableColumn>
    <tableColumn id="45" xr3:uid="{9AE34E4B-1F6D-4A06-B6B9-B54A7C99AA17}" name="%Aloc19" totalsRowFunction="sum" dataDxfId="97" totalsRowDxfId="96" dataCellStyle="Porcentagem">
      <calculatedColumnFormula>tbRHI[[#This Row],[19]]/tbRHI[[#This Row],[Custo]]</calculatedColumnFormula>
    </tableColumn>
    <tableColumn id="23" xr3:uid="{2748F3AE-6755-4E0E-9444-3EF504E08F11}" name="20" totalsRowFunction="sum" dataDxfId="95" totalsRowDxfId="94">
      <calculatedColumnFormula>(tbRHI[[#This Row],[Custo]]/SUM(tbRHI[Custo]))*SUMIFS(tbEquipe[Custo],tbEquipe[Mês],AP$1)*Configuração!$D$10</calculatedColumnFormula>
    </tableColumn>
    <tableColumn id="46" xr3:uid="{7DBE2D76-A61A-465D-880B-AB6577615FC0}" name="%Aloc20" totalsRowFunction="sum" dataDxfId="93" totalsRowDxfId="92" dataCellStyle="Porcentagem">
      <calculatedColumnFormula>tbRHI[[#This Row],[20]]/tbRHI[[#This Row],[Custo]]</calculatedColumnFormula>
    </tableColumn>
    <tableColumn id="24" xr3:uid="{B1A61CA9-D1AF-47CF-8A8C-9AE73081BB99}" name="21" totalsRowFunction="sum" dataDxfId="91" totalsRowDxfId="90">
      <calculatedColumnFormula>(tbRHI[[#This Row],[Custo]]/SUM(tbRHI[Custo]))*SUMIFS(tbEquipe[Custo],tbEquipe[Mês],AR$1)*Configuração!$D$10</calculatedColumnFormula>
    </tableColumn>
    <tableColumn id="47" xr3:uid="{39F44818-3A78-4DDC-9078-9FE7C318E9A1}" name="%Aloc21" totalsRowFunction="sum" dataDxfId="89" totalsRowDxfId="88" dataCellStyle="Porcentagem">
      <calculatedColumnFormula>tbRHI[[#This Row],[21]]/tbRHI[[#This Row],[Custo]]</calculatedColumnFormula>
    </tableColumn>
    <tableColumn id="25" xr3:uid="{DCC7B093-3007-4735-852A-0CEC1B5EFEA3}" name="22" totalsRowFunction="sum" dataDxfId="87" totalsRowDxfId="86">
      <calculatedColumnFormula>(tbRHI[[#This Row],[Custo]]/SUM(tbRHI[Custo]))*SUMIFS(tbEquipe[Custo],tbEquipe[Mês],AT$1)*Configuração!$D$10</calculatedColumnFormula>
    </tableColumn>
    <tableColumn id="48" xr3:uid="{8ED7D96F-855F-4631-BCB9-E580308D746E}" name="%Aloc22" totalsRowFunction="sum" dataDxfId="85" totalsRowDxfId="84" dataCellStyle="Porcentagem">
      <calculatedColumnFormula>tbRHI[[#This Row],[22]]/tbRHI[[#This Row],[Custo]]</calculatedColumnFormula>
    </tableColumn>
    <tableColumn id="26" xr3:uid="{B3564444-6D72-4C99-8CBA-FBEE774E3761}" name="23" totalsRowFunction="sum" dataDxfId="83" totalsRowDxfId="82">
      <calculatedColumnFormula>(tbRHI[[#This Row],[Custo]]/SUM(tbRHI[Custo]))*SUMIFS(tbEquipe[Custo],tbEquipe[Mês],AV$1)*Configuração!$D$10</calculatedColumnFormula>
    </tableColumn>
    <tableColumn id="50" xr3:uid="{BD0F8BCB-B298-4EE1-80BF-92B072C58C51}" name="%Aloc23" totalsRowFunction="sum" dataDxfId="81" totalsRowDxfId="80" dataCellStyle="Porcentagem">
      <calculatedColumnFormula>tbRHI[[#This Row],[23]]/tbRHI[[#This Row],[Custo]]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27BB2D-43AE-4C7A-AA6E-8DB639D62B57}" name="tbRateio" displayName="tbRateio" ref="A1:Z22" totalsRowCount="1" headerRowDxfId="79" dataDxfId="78" totalsRowDxfId="77">
  <autoFilter ref="A1:Z21" xr:uid="{0627BB2D-43AE-4C7A-AA6E-8DB639D62B57}"/>
  <tableColumns count="26">
    <tableColumn id="1" xr3:uid="{50120F67-25C7-403F-BBA4-6981697BAC08}" name="Despesa" dataDxfId="76"/>
    <tableColumn id="2" xr3:uid="{2897B393-FF88-4350-89E2-0041748CDB25}" name="Custo Mensal" totalsRowFunction="sum" dataDxfId="75" totalsRowDxfId="74"/>
    <tableColumn id="61" xr3:uid="{5D00E6BC-DF68-446A-B868-DF5AA2F56112}" name="Custo Rateado" totalsRowFunction="sum" dataDxfId="73" totalsRowDxfId="72">
      <calculatedColumnFormula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calculatedColumnFormula>
    </tableColumn>
    <tableColumn id="4" xr3:uid="{0B9F553F-5B25-4171-B4B9-5709D337FEED}" name="1" totalsRowFunction="sum" dataDxfId="71" totalsRowDxfId="70">
      <calculatedColumnFormula>((SUMIF(tbEquipe[Mês],D$1,tbEquipe[Alocação])*Configuração!$D$14+SUM(tbRHI[%Aloc1])*Configuração!$D$15)/Configuração!$D$13)*tbRateio[[#This Row],[Custo Mensal]]</calculatedColumnFormula>
    </tableColumn>
    <tableColumn id="6" xr3:uid="{651487F7-4A42-4F47-83A9-013256231DCF}" name="2" totalsRowFunction="sum" dataDxfId="69" totalsRowDxfId="68">
      <calculatedColumnFormula>((SUMIF(tbEquipe[Mês],E$1,tbEquipe[Alocação])*Configuração!$D$14+SUM(tbRHI[%Aloc2])*Configuração!$D$15)/Configuração!$D$13)*tbRateio[[#This Row],[Custo Mensal]]</calculatedColumnFormula>
    </tableColumn>
    <tableColumn id="7" xr3:uid="{23BF10F4-E5B7-405A-BEC9-60CBFC104DC1}" name="3" totalsRowFunction="sum" dataDxfId="67" totalsRowDxfId="66">
      <calculatedColumnFormula>((SUMIF(tbEquipe[Mês],F$1,tbEquipe[Alocação])*Configuração!$D$14+SUM(tbRHI[%Aloc3])*Configuração!$D$15)/Configuração!$D$13)*tbRateio[[#This Row],[Custo Mensal]]</calculatedColumnFormula>
    </tableColumn>
    <tableColumn id="8" xr3:uid="{3DA6A2FA-09C8-42B0-9279-DCE370795115}" name="4" totalsRowFunction="sum" dataDxfId="65" totalsRowDxfId="64">
      <calculatedColumnFormula>((SUMIF(tbEquipe[Mês],G$1,tbEquipe[Alocação])*Configuração!$D$14+SUM(tbRHI[%Aloc4])*Configuração!$D$15)/Configuração!$D$13)*tbRateio[[#This Row],[Custo Mensal]]</calculatedColumnFormula>
    </tableColumn>
    <tableColumn id="9" xr3:uid="{58A86CD9-53DF-4E5E-A22E-0EEE4CAC394F}" name="5" totalsRowFunction="sum" dataDxfId="63" totalsRowDxfId="62">
      <calculatedColumnFormula>((SUMIF(tbEquipe[Mês],H$1,tbEquipe[Alocação])*Configuração!$D$14+SUM(tbRHI[%Aloc5])*Configuração!$D$15)/Configuração!$D$13)*tbRateio[[#This Row],[Custo Mensal]]</calculatedColumnFormula>
    </tableColumn>
    <tableColumn id="10" xr3:uid="{320B3204-F91D-43A0-BBD6-050CCE5B2169}" name="6" totalsRowFunction="sum" dataDxfId="61" totalsRowDxfId="60">
      <calculatedColumnFormula>((SUMIF(tbEquipe[Mês],I$1,tbEquipe[Alocação])*Configuração!$D$14+SUM(tbRHI[%Aloc6])*Configuração!$D$15)/Configuração!$D$13)*tbRateio[[#This Row],[Custo Mensal]]</calculatedColumnFormula>
    </tableColumn>
    <tableColumn id="11" xr3:uid="{1C45F854-2FAF-4F1A-A31B-D56240B0B391}" name="7" totalsRowFunction="sum" dataDxfId="59" totalsRowDxfId="58">
      <calculatedColumnFormula>((SUMIF(tbEquipe[Mês],J$1,tbEquipe[Alocação])*Configuração!$D$14+SUM(tbRHI[%Aloc7])*Configuração!$D$15)/Configuração!$D$13)*tbRateio[[#This Row],[Custo Mensal]]</calculatedColumnFormula>
    </tableColumn>
    <tableColumn id="12" xr3:uid="{4A938A72-B694-4E6D-847C-34C7CABABB63}" name="8" totalsRowFunction="sum" dataDxfId="57" totalsRowDxfId="56">
      <calculatedColumnFormula>((SUMIF(tbEquipe[Mês],K$1,tbEquipe[Alocação])*Configuração!$D$14+SUM(tbRHI[%Aloc8])*Configuração!$D$15)/Configuração!$D$13)*tbRateio[[#This Row],[Custo Mensal]]</calculatedColumnFormula>
    </tableColumn>
    <tableColumn id="13" xr3:uid="{DC907DF5-C49E-46BA-9DAA-105D722AFD92}" name="9" totalsRowFunction="sum" dataDxfId="55" totalsRowDxfId="54">
      <calculatedColumnFormula>((SUMIF(tbEquipe[Mês],L$1,tbEquipe[Alocação])*Configuração!$D$14+SUM(tbRHI[%Aloc9])*Configuração!$D$15)/Configuração!$D$13)*tbRateio[[#This Row],[Custo Mensal]]</calculatedColumnFormula>
    </tableColumn>
    <tableColumn id="14" xr3:uid="{7FE5ACCB-D57C-413E-A7EF-21ED1D257AC5}" name="10" totalsRowFunction="sum" dataDxfId="53" totalsRowDxfId="52">
      <calculatedColumnFormula>((SUMIF(tbEquipe[Mês],M$1,tbEquipe[Alocação])*Configuração!$D$14+SUM(tbRHI[%Aloc10])*Configuração!$D$15)/Configuração!$D$13)*tbRateio[[#This Row],[Custo Mensal]]</calculatedColumnFormula>
    </tableColumn>
    <tableColumn id="15" xr3:uid="{FAEA2D08-CD68-4CF5-999B-75B35C89BA6C}" name="11" totalsRowFunction="sum" dataDxfId="51" totalsRowDxfId="50">
      <calculatedColumnFormula>((SUMIF(tbEquipe[Mês],N$1,tbEquipe[Alocação])*Configuração!$D$14+SUM(tbRHI[%Aloc11])*Configuração!$D$15)/Configuração!$D$13)*tbRateio[[#This Row],[Custo Mensal]]</calculatedColumnFormula>
    </tableColumn>
    <tableColumn id="16" xr3:uid="{A303A5C0-349C-48DE-BE2A-54DFE150207E}" name="12" totalsRowFunction="sum" dataDxfId="49" totalsRowDxfId="48">
      <calculatedColumnFormula>((SUMIF(tbEquipe[Mês],O$1,tbEquipe[Alocação])*Configuração!$D$14+SUM(tbRHI[%Aloc12])*Configuração!$D$15)/Configuração!$D$13)*tbRateio[[#This Row],[Custo Mensal]]</calculatedColumnFormula>
    </tableColumn>
    <tableColumn id="17" xr3:uid="{6C10BDE3-F61D-4C9F-A780-398B0575A9A7}" name="13" totalsRowFunction="sum" dataDxfId="47" totalsRowDxfId="46">
      <calculatedColumnFormula>((SUMIF(tbEquipe[Mês],P$1,tbEquipe[Alocação])*Configuração!$D$14+SUM(tbRHI[%Aloc13])*Configuração!$D$15)/Configuração!$D$13)*tbRateio[[#This Row],[Custo Mensal]]</calculatedColumnFormula>
    </tableColumn>
    <tableColumn id="18" xr3:uid="{CE76A3D4-B68B-4556-8961-A749788B21CC}" name="14" totalsRowFunction="sum" dataDxfId="45" totalsRowDxfId="44">
      <calculatedColumnFormula>((SUMIF(tbEquipe[Mês],Q$1,tbEquipe[Alocação])*Configuração!$D$14+SUM(tbRHI[%Aloc14])*Configuração!$D$15)/Configuração!$D$13)*tbRateio[[#This Row],[Custo Mensal]]</calculatedColumnFormula>
    </tableColumn>
    <tableColumn id="19" xr3:uid="{1250BF33-1B2B-4AD0-B6C4-EA2BED001D43}" name="15" totalsRowFunction="sum" dataDxfId="43" totalsRowDxfId="42">
      <calculatedColumnFormula>((SUMIF(tbEquipe[Mês],R$1,tbEquipe[Alocação])*Configuração!$D$14+SUM(tbRHI[%Aloc15])*Configuração!$D$15)/Configuração!$D$13)*tbRateio[[#This Row],[Custo Mensal]]</calculatedColumnFormula>
    </tableColumn>
    <tableColumn id="20" xr3:uid="{EBF94697-AEAE-4B15-88B1-BA60AEC031A2}" name="16" totalsRowFunction="sum" dataDxfId="41" totalsRowDxfId="40">
      <calculatedColumnFormula>((SUMIF(tbEquipe[Mês],S$1,tbEquipe[Alocação])*Configuração!$D$14+SUM(tbRHI[%Aloc16])*Configuração!$D$15)/Configuração!$D$13)*tbRateio[[#This Row],[Custo Mensal]]</calculatedColumnFormula>
    </tableColumn>
    <tableColumn id="21" xr3:uid="{ABF9DD7C-0B34-489A-9145-6E9B612AD7DC}" name="17" totalsRowFunction="sum" dataDxfId="39" totalsRowDxfId="38">
      <calculatedColumnFormula>((SUMIF(tbEquipe[Mês],T$1,tbEquipe[Alocação])*Configuração!$D$14+SUM(tbRHI[%Aloc17])*Configuração!$D$15)/Configuração!$D$13)*tbRateio[[#This Row],[Custo Mensal]]</calculatedColumnFormula>
    </tableColumn>
    <tableColumn id="22" xr3:uid="{E039BDD6-EFFB-40F9-9CC3-BAB5E09B2CF2}" name="18" totalsRowFunction="sum" dataDxfId="37" totalsRowDxfId="36">
      <calculatedColumnFormula>((SUMIF(tbEquipe[Mês],U$1,tbEquipe[Alocação])*Configuração!$D$14+SUM(tbRHI[%Aloc18])*Configuração!$D$15)/Configuração!$D$13)*tbRateio[[#This Row],[Custo Mensal]]</calculatedColumnFormula>
    </tableColumn>
    <tableColumn id="23" xr3:uid="{2C8E2843-0C01-40B7-9658-EE2B6FEB3AB8}" name="19" totalsRowFunction="sum" dataDxfId="35" totalsRowDxfId="34">
      <calculatedColumnFormula>((SUMIF(tbEquipe[Mês],V$1,tbEquipe[Alocação])*Configuração!$D$14+SUM(tbRHI[%Aloc19])*Configuração!$D$15)/Configuração!$D$13)*tbRateio[[#This Row],[Custo Mensal]]</calculatedColumnFormula>
    </tableColumn>
    <tableColumn id="24" xr3:uid="{8F81FAA4-AC1B-4C39-AB69-068B52EBA355}" name="20" totalsRowFunction="sum" dataDxfId="33" totalsRowDxfId="32">
      <calculatedColumnFormula>((SUMIF(tbEquipe[Mês],W$1,tbEquipe[Alocação])*Configuração!$D$14+SUM(tbRHI[%Aloc20])*Configuração!$D$15)/Configuração!$D$13)*tbRateio[[#This Row],[Custo Mensal]]</calculatedColumnFormula>
    </tableColumn>
    <tableColumn id="25" xr3:uid="{8B6EE947-CDD8-4409-AE89-60E69E7965DB}" name="21" totalsRowFunction="sum" dataDxfId="31" totalsRowDxfId="30">
      <calculatedColumnFormula>((SUMIF(tbEquipe[Mês],X$1,tbEquipe[Alocação])*Configuração!$D$14+SUM(tbRHI[%Aloc21])*Configuração!$D$15)/Configuração!$D$13)*tbRateio[[#This Row],[Custo Mensal]]</calculatedColumnFormula>
    </tableColumn>
    <tableColumn id="26" xr3:uid="{7B29C13D-4506-4F58-BBF1-8D512E4AC1FC}" name="22" totalsRowFunction="sum" dataDxfId="29" totalsRowDxfId="28">
      <calculatedColumnFormula>((SUMIF(tbEquipe[Mês],Y$1,tbEquipe[Alocação])*Configuração!$D$14+SUM(tbRHI[%Aloc22])*Configuração!$D$15)/Configuração!$D$13)*tbRateio[[#This Row],[Custo Mensal]]</calculatedColumnFormula>
    </tableColumn>
    <tableColumn id="27" xr3:uid="{A9415F9A-314F-437F-8928-AC05F92DA6C4}" name="23" totalsRowFunction="sum" dataDxfId="27" totalsRowDxfId="26">
      <calculatedColumnFormula>((SUMIF(tbEquipe[Mês],Z$1,tbEquipe[Alocação])*Configuração!$D$14+SUM(tbRHI[%Aloc23])*Configuração!$D$15)/Configuração!$D$13)*tbRateio[[#This Row],[Custo Mensal]]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57AC-C579-447B-B56E-011676168F7F}">
  <sheetPr>
    <pageSetUpPr fitToPage="1"/>
  </sheetPr>
  <dimension ref="A1:AS39"/>
  <sheetViews>
    <sheetView tabSelected="1" zoomScale="130" zoomScaleNormal="130" workbookViewId="0">
      <selection activeCell="F24" sqref="F24"/>
    </sheetView>
  </sheetViews>
  <sheetFormatPr defaultColWidth="8.85546875" defaultRowHeight="15" x14ac:dyDescent="0.25"/>
  <cols>
    <col min="1" max="1" width="5.42578125" style="14" customWidth="1"/>
    <col min="2" max="2" width="51.140625" bestFit="1" customWidth="1"/>
    <col min="3" max="3" width="20.42578125" bestFit="1" customWidth="1"/>
    <col min="4" max="4" width="10" style="17" customWidth="1"/>
    <col min="5" max="5" width="21.140625" customWidth="1"/>
    <col min="6" max="6" width="23.5703125" bestFit="1" customWidth="1"/>
    <col min="7" max="19" width="17.140625" customWidth="1"/>
    <col min="20" max="27" width="8" hidden="1" customWidth="1"/>
    <col min="30" max="30" width="19.140625" bestFit="1" customWidth="1"/>
    <col min="45" max="45" width="13.7109375" bestFit="1" customWidth="1"/>
  </cols>
  <sheetData>
    <row r="1" spans="1:45" ht="55.35" customHeight="1" x14ac:dyDescent="0.25">
      <c r="A1" s="11"/>
      <c r="B1" s="3"/>
      <c r="C1" s="297" t="s">
        <v>573</v>
      </c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46" t="s">
        <v>0</v>
      </c>
    </row>
    <row r="2" spans="1:45" ht="15.75" x14ac:dyDescent="0.25">
      <c r="A2" s="298" t="s">
        <v>1</v>
      </c>
      <c r="B2" s="298" t="s">
        <v>2</v>
      </c>
      <c r="C2" s="298" t="s">
        <v>3</v>
      </c>
      <c r="D2" s="299" t="s">
        <v>4</v>
      </c>
      <c r="E2" s="298" t="s">
        <v>5</v>
      </c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</row>
    <row r="3" spans="1:45" ht="15.75" x14ac:dyDescent="0.25">
      <c r="A3" s="298"/>
      <c r="B3" s="298"/>
      <c r="C3" s="298"/>
      <c r="D3" s="299"/>
      <c r="E3" s="4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</row>
    <row r="4" spans="1:45" ht="17.100000000000001" customHeight="1" x14ac:dyDescent="0.25">
      <c r="A4" s="12">
        <v>1</v>
      </c>
      <c r="B4" s="5" t="s">
        <v>6</v>
      </c>
      <c r="C4" s="6">
        <f>SUM(E4:AA4)</f>
        <v>340084.80365693022</v>
      </c>
      <c r="D4" s="7">
        <f>IFERROR(C4/$C$21,0)</f>
        <v>9.4797677728824123E-2</v>
      </c>
      <c r="E4" s="42">
        <f>SUMIFS(tbRubrica[Custo Total],tbRubrica[Rubrica],Configuração!$A$2,tbRubrica[Mês],E$3)+SUMIFS(tbRubrica[Custo Total],tbRubrica[Rubrica],Configuração!$A$3,tbRubrica[Mês],E$3)</f>
        <v>340084.80365693022</v>
      </c>
      <c r="F4" s="42">
        <f>SUMIFS(tbRubrica[Custo Total],tbRubrica[Rubrica],Configuração!$A$2,tbRubrica[Mês],F$3)+SUMIFS(tbRubrica[Custo Total],tbRubrica[Rubrica],Configuração!$A$3,tbRubrica[Mês],F$3)</f>
        <v>0</v>
      </c>
      <c r="G4" s="42">
        <f>SUMIFS(tbRubrica[Custo Total],tbRubrica[Rubrica],Configuração!$A$2,tbRubrica[Mês],G$3)+SUMIFS(tbRubrica[Custo Total],tbRubrica[Rubrica],Configuração!$A$3,tbRubrica[Mês],G$3)</f>
        <v>0</v>
      </c>
      <c r="H4" s="42">
        <f>SUMIFS(tbRubrica[Custo Total],tbRubrica[Rubrica],Configuração!$A$2,tbRubrica[Mês],H$3)+SUMIFS(tbRubrica[Custo Total],tbRubrica[Rubrica],Configuração!$A$3,tbRubrica[Mês],H$3)</f>
        <v>0</v>
      </c>
      <c r="I4" s="42">
        <f>SUMIFS(tbRubrica[Custo Total],tbRubrica[Rubrica],Configuração!$A$2,tbRubrica[Mês],I$3)+SUMIFS(tbRubrica[Custo Total],tbRubrica[Rubrica],Configuração!$A$3,tbRubrica[Mês],I$3)</f>
        <v>0</v>
      </c>
      <c r="J4" s="42">
        <f>SUMIFS(tbRubrica[Custo Total],tbRubrica[Rubrica],Configuração!$A$2,tbRubrica[Mês],J$3)+SUMIFS(tbRubrica[Custo Total],tbRubrica[Rubrica],Configuração!$A$3,tbRubrica[Mês],J$3)</f>
        <v>0</v>
      </c>
      <c r="K4" s="42">
        <f>SUMIFS(tbRubrica[Custo Total],tbRubrica[Rubrica],Configuração!$A$2,tbRubrica[Mês],K$3)+SUMIFS(tbRubrica[Custo Total],tbRubrica[Rubrica],Configuração!$A$3,tbRubrica[Mês],K$3)</f>
        <v>0</v>
      </c>
      <c r="L4" s="42">
        <f>SUMIFS(tbRubrica[Custo Total],tbRubrica[Rubrica],Configuração!$A$2,tbRubrica[Mês],L$3)+SUMIFS(tbRubrica[Custo Total],tbRubrica[Rubrica],Configuração!$A$3,tbRubrica[Mês],L$3)</f>
        <v>0</v>
      </c>
      <c r="M4" s="42">
        <f>SUMIFS(tbRubrica[Custo Total],tbRubrica[Rubrica],Configuração!$A$2,tbRubrica[Mês],M$3)+SUMIFS(tbRubrica[Custo Total],tbRubrica[Rubrica],Configuração!$A$3,tbRubrica[Mês],M$3)</f>
        <v>0</v>
      </c>
      <c r="N4" s="42">
        <f>SUMIFS(tbRubrica[Custo Total],tbRubrica[Rubrica],Configuração!$A$2,tbRubrica[Mês],N$3)+SUMIFS(tbRubrica[Custo Total],tbRubrica[Rubrica],Configuração!$A$3,tbRubrica[Mês],N$3)</f>
        <v>0</v>
      </c>
      <c r="O4" s="42">
        <f>SUMIFS(tbRubrica[Custo Total],tbRubrica[Rubrica],Configuração!$A$2,tbRubrica[Mês],O$3)+SUMIFS(tbRubrica[Custo Total],tbRubrica[Rubrica],Configuração!$A$3,tbRubrica[Mês],O$3)</f>
        <v>0</v>
      </c>
      <c r="P4" s="42">
        <f>SUMIFS(tbRubrica[Custo Total],tbRubrica[Rubrica],Configuração!$A$2,tbRubrica[Mês],P$3)+SUMIFS(tbRubrica[Custo Total],tbRubrica[Rubrica],Configuração!$A$3,tbRubrica[Mês],P$3)</f>
        <v>0</v>
      </c>
      <c r="Q4" s="42">
        <f>SUMIFS(tbRubrica[Custo Total],tbRubrica[Rubrica],Configuração!$A$2,tbRubrica[Mês],Q$3)+SUMIFS(tbRubrica[Custo Total],tbRubrica[Rubrica],Configuração!$A$3,tbRubrica[Mês],Q$3)</f>
        <v>0</v>
      </c>
      <c r="R4" s="42">
        <f>SUMIFS(tbRubrica[Custo Total],tbRubrica[Rubrica],Configuração!$A$2,tbRubrica[Mês],R$3)+SUMIFS(tbRubrica[Custo Total],tbRubrica[Rubrica],Configuração!$A$3,tbRubrica[Mês],R$3)</f>
        <v>0</v>
      </c>
      <c r="S4" s="42">
        <f>SUMIFS(tbRubrica[Custo Total],tbRubrica[Rubrica],Configuração!$A$2,tbRubrica[Mês],S$3)+SUMIFS(tbRubrica[Custo Total],tbRubrica[Rubrica],Configuração!$A$3,tbRubrica[Mês],S$3)</f>
        <v>0</v>
      </c>
      <c r="T4" s="42">
        <f>SUMIFS(tbRubrica[Custo Total],tbRubrica[Rubrica],Configuração!$A$2,tbRubrica[Mês],T$3)+SUMIFS(tbRubrica[Custo Total],tbRubrica[Rubrica],Configuração!$A$3,tbRubrica[Mês],T$3)</f>
        <v>0</v>
      </c>
      <c r="U4" s="42">
        <f>SUMIFS(tbRubrica[Custo Total],tbRubrica[Rubrica],Configuração!$A$2,tbRubrica[Mês],U$3)+SUMIFS(tbRubrica[Custo Total],tbRubrica[Rubrica],Configuração!$A$3,tbRubrica[Mês],U$3)</f>
        <v>0</v>
      </c>
      <c r="V4" s="42">
        <f>SUMIFS(tbRubrica[Custo Total],tbRubrica[Rubrica],Configuração!$A$2,tbRubrica[Mês],V$3)+SUMIFS(tbRubrica[Custo Total],tbRubrica[Rubrica],Configuração!$A$3,tbRubrica[Mês],V$3)</f>
        <v>0</v>
      </c>
      <c r="W4" s="42">
        <f>SUMIFS(tbRubrica[Custo Total],tbRubrica[Rubrica],Configuração!$A$2,tbRubrica[Mês],W$3)+SUMIFS(tbRubrica[Custo Total],tbRubrica[Rubrica],Configuração!$A$3,tbRubrica[Mês],W$3)</f>
        <v>0</v>
      </c>
      <c r="X4" s="42">
        <f>SUMIFS(tbRubrica[Custo Total],tbRubrica[Rubrica],Configuração!$A$2,tbRubrica[Mês],X$3)+SUMIFS(tbRubrica[Custo Total],tbRubrica[Rubrica],Configuração!$A$3,tbRubrica[Mês],X$3)</f>
        <v>0</v>
      </c>
      <c r="Y4" s="42">
        <f>SUMIFS(tbRubrica[Custo Total],tbRubrica[Rubrica],Configuração!$A$2,tbRubrica[Mês],Y$3)+SUMIFS(tbRubrica[Custo Total],tbRubrica[Rubrica],Configuração!$A$3,tbRubrica[Mês],Y$3)</f>
        <v>0</v>
      </c>
      <c r="Z4" s="42">
        <f>SUMIFS(tbRubrica[Custo Total],tbRubrica[Rubrica],Configuração!$A$2,tbRubrica[Mês],Z$3)+SUMIFS(tbRubrica[Custo Total],tbRubrica[Rubrica],Configuração!$A$3,tbRubrica[Mês],Z$3)</f>
        <v>0</v>
      </c>
      <c r="AA4" s="42">
        <f>SUMIFS(tbRubrica[Custo Total],tbRubrica[Rubrica],Configuração!$A$2,tbRubrica[Mês],AA$3)+SUMIFS(tbRubrica[Custo Total],tbRubrica[Rubrica],Configuração!$A$3,tbRubrica[Mês],AA$3)</f>
        <v>0</v>
      </c>
      <c r="AE4">
        <f>SUM(AF6:AQ6)/12</f>
        <v>69161.304544265251</v>
      </c>
    </row>
    <row r="5" spans="1:45" ht="17.100000000000001" customHeight="1" x14ac:dyDescent="0.25">
      <c r="A5" s="12">
        <v>2</v>
      </c>
      <c r="B5" s="5" t="s">
        <v>7</v>
      </c>
      <c r="C5" s="6">
        <f>SUM(E5:AA5)</f>
        <v>0</v>
      </c>
      <c r="D5" s="7">
        <f t="shared" ref="D5:D9" si="0">IFERROR(C5/$C$21,0)</f>
        <v>0</v>
      </c>
      <c r="E5" s="42">
        <f>SUMIFS(tbRubrica[Custo Total],tbRubrica[Rubrica],Configuração!$A$4,tbRubrica[Mês],E$3)</f>
        <v>0</v>
      </c>
      <c r="F5" s="42">
        <f>SUMIFS(tbRubrica[Custo Total],tbRubrica[Rubrica],Configuração!$A$4,tbRubrica[Mês],F$3)</f>
        <v>0</v>
      </c>
      <c r="G5" s="42">
        <f>SUMIFS(tbRubrica[Custo Total],tbRubrica[Rubrica],Configuração!$A$4,tbRubrica[Mês],G$3)</f>
        <v>0</v>
      </c>
      <c r="H5" s="42">
        <f>SUMIFS(tbRubrica[Custo Total],tbRubrica[Rubrica],Configuração!$A$4,tbRubrica[Mês],H$3)</f>
        <v>0</v>
      </c>
      <c r="I5" s="42">
        <f>SUMIFS(tbRubrica[Custo Total],tbRubrica[Rubrica],Configuração!$A$4,tbRubrica[Mês],I$3)</f>
        <v>0</v>
      </c>
      <c r="J5" s="42">
        <f>SUMIFS(tbRubrica[Custo Total],tbRubrica[Rubrica],Configuração!$A$4,tbRubrica[Mês],J$3)</f>
        <v>0</v>
      </c>
      <c r="K5" s="42">
        <f>SUMIFS(tbRubrica[Custo Total],tbRubrica[Rubrica],Configuração!$A$4,tbRubrica[Mês],K$3)</f>
        <v>0</v>
      </c>
      <c r="L5" s="42">
        <f>SUMIFS(tbRubrica[Custo Total],tbRubrica[Rubrica],Configuração!$A$4,tbRubrica[Mês],L$3)</f>
        <v>0</v>
      </c>
      <c r="M5" s="42">
        <f>SUMIFS(tbRubrica[Custo Total],tbRubrica[Rubrica],Configuração!$A$4,tbRubrica[Mês],M$3)</f>
        <v>0</v>
      </c>
      <c r="N5" s="42">
        <f>SUMIFS(tbRubrica[Custo Total],tbRubrica[Rubrica],Configuração!$A$4,tbRubrica[Mês],N$3)</f>
        <v>0</v>
      </c>
      <c r="O5" s="42">
        <f>SUMIFS(tbRubrica[Custo Total],tbRubrica[Rubrica],Configuração!$A$4,tbRubrica[Mês],O$3)</f>
        <v>0</v>
      </c>
      <c r="P5" s="42">
        <f>SUMIFS(tbRubrica[Custo Total],tbRubrica[Rubrica],Configuração!$A$4,tbRubrica[Mês],P$3)</f>
        <v>0</v>
      </c>
      <c r="Q5" s="42">
        <f>SUMIFS(tbRubrica[Custo Total],tbRubrica[Rubrica],Configuração!$A$4,tbRubrica[Mês],Q$3)</f>
        <v>0</v>
      </c>
      <c r="R5" s="42">
        <f>SUMIFS(tbRubrica[Custo Total],tbRubrica[Rubrica],Configuração!$A$4,tbRubrica[Mês],R$3)</f>
        <v>0</v>
      </c>
      <c r="S5" s="42">
        <f>SUMIFS(tbRubrica[Custo Total],tbRubrica[Rubrica],Configuração!$A$4,tbRubrica[Mês],S$3)</f>
        <v>0</v>
      </c>
      <c r="T5" s="42">
        <f>SUMIFS(tbRubrica[Custo Total],tbRubrica[Rubrica],Configuração!$A$4,tbRubrica[Mês],T$3)</f>
        <v>0</v>
      </c>
      <c r="U5" s="42">
        <f>SUMIFS(tbRubrica[Custo Total],tbRubrica[Rubrica],Configuração!$A$4,tbRubrica[Mês],U$3)</f>
        <v>0</v>
      </c>
      <c r="V5" s="42">
        <f>SUMIFS(tbRubrica[Custo Total],tbRubrica[Rubrica],Configuração!$A$4,tbRubrica[Mês],V$3)</f>
        <v>0</v>
      </c>
      <c r="W5" s="42">
        <f>SUMIFS(tbEquipe[Custo],tbEquipe[Tipo],Configuração!$F$2,tbEquipe[Mês],W$3)</f>
        <v>0</v>
      </c>
      <c r="X5" s="42">
        <f>SUMIFS(tbEquipe[Custo],tbEquipe[Tipo],Configuração!$F$2,tbEquipe[Mês],X$3)</f>
        <v>0</v>
      </c>
      <c r="Y5" s="42">
        <f>SUMIFS(tbEquipe[Custo],tbEquipe[Tipo],Configuração!$F$2,tbEquipe[Mês],Y$3)</f>
        <v>0</v>
      </c>
      <c r="Z5" s="42">
        <f>SUMIFS(tbEquipe[Custo],tbEquipe[Tipo],Configuração!$F$2,tbEquipe[Mês],Z$3)</f>
        <v>0</v>
      </c>
      <c r="AA5" s="42">
        <f>SUMIFS(tbEquipe[Custo],tbEquipe[Tipo],Configuração!$F$2,tbEquipe[Mês],AA$3)</f>
        <v>0</v>
      </c>
      <c r="AE5">
        <f>SUM(AF7:AQ7)/12</f>
        <v>14523.873954295703</v>
      </c>
    </row>
    <row r="6" spans="1:45" ht="17.100000000000001" customHeight="1" x14ac:dyDescent="0.25">
      <c r="A6" s="12" t="s">
        <v>8</v>
      </c>
      <c r="B6" s="5" t="s">
        <v>9</v>
      </c>
      <c r="C6" s="6">
        <f>SUM(E6:AA6)</f>
        <v>847815.23481038352</v>
      </c>
      <c r="D6" s="7">
        <f t="shared" si="0"/>
        <v>0.23632610025180201</v>
      </c>
      <c r="E6" s="42">
        <f>SUMIFS(tbEquipe[Custo],tbEquipe[Tipo],Configuração!$F$2,tbEquipe[Mês],E$3)+SUMIFS(tbEquipe[Custo],tbEquipe[Tipo],Configuração!$F$4,tbEquipe[Mês],E$3)</f>
        <v>67089.429819479657</v>
      </c>
      <c r="F6" s="42">
        <f>SUMIFS(tbEquipe[Custo],tbEquipe[Tipo],Configuração!$F$2,tbEquipe[Mês],F$3)+SUMIFS(tbEquipe[Custo],tbEquipe[Tipo],Configuração!$F$4,tbEquipe[Mês],F$3)</f>
        <v>69436.329775315113</v>
      </c>
      <c r="G6" s="42">
        <f>SUMIFS(tbEquipe[Custo],tbEquipe[Tipo],Configuração!$F$2,tbEquipe[Mês],G$3)+SUMIFS(tbEquipe[Custo],tbEquipe[Tipo],Configuração!$F$4,tbEquipe[Mês],G$3)</f>
        <v>69436.329775315113</v>
      </c>
      <c r="H6" s="42">
        <f>SUMIFS(tbEquipe[Custo],tbEquipe[Tipo],Configuração!$F$2,tbEquipe[Mês],H$3)+SUMIFS(tbEquipe[Custo],tbEquipe[Tipo],Configuração!$F$4,tbEquipe[Mês],H$3)</f>
        <v>69436.329775315113</v>
      </c>
      <c r="I6" s="42">
        <f>SUMIFS(tbEquipe[Custo],tbEquipe[Tipo],Configuração!$F$2,tbEquipe[Mês],I$3)+SUMIFS(tbEquipe[Custo],tbEquipe[Tipo],Configuração!$F$4,tbEquipe[Mês],I$3)</f>
        <v>69436.329775315113</v>
      </c>
      <c r="J6" s="42">
        <f>SUMIFS(tbEquipe[Custo],tbEquipe[Tipo],Configuração!$F$2,tbEquipe[Mês],J$3)+SUMIFS(tbEquipe[Custo],tbEquipe[Tipo],Configuração!$F$4,tbEquipe[Mês],J$3)</f>
        <v>69436.329775315113</v>
      </c>
      <c r="K6" s="42">
        <f>SUMIFS(tbEquipe[Custo],tbEquipe[Tipo],Configuração!$F$2,tbEquipe[Mês],K$3)+SUMIFS(tbEquipe[Custo],tbEquipe[Tipo],Configuração!$F$4,tbEquipe[Mês],K$3)</f>
        <v>69436.329775315113</v>
      </c>
      <c r="L6" s="42">
        <f>SUMIFS(tbEquipe[Custo],tbEquipe[Tipo],Configuração!$F$2,tbEquipe[Mês],L$3)+SUMIFS(tbEquipe[Custo],tbEquipe[Tipo],Configuração!$F$4,tbEquipe[Mês],L$3)</f>
        <v>69436.329775315113</v>
      </c>
      <c r="M6" s="42">
        <f>SUMIFS(tbEquipe[Custo],tbEquipe[Tipo],Configuração!$F$2,tbEquipe[Mês],M$3)+SUMIFS(tbEquipe[Custo],tbEquipe[Tipo],Configuração!$F$4,tbEquipe[Mês],M$3)</f>
        <v>69436.329775315113</v>
      </c>
      <c r="N6" s="42">
        <f>SUMIFS(tbEquipe[Custo],tbEquipe[Tipo],Configuração!$F$2,tbEquipe[Mês],N$3)+SUMIFS(tbEquipe[Custo],tbEquipe[Tipo],Configuração!$F$4,tbEquipe[Mês],N$3)</f>
        <v>69436.329775315113</v>
      </c>
      <c r="O6" s="42">
        <f>SUMIFS(tbEquipe[Custo],tbEquipe[Tipo],Configuração!$F$2,tbEquipe[Mês],O$3)+SUMIFS(tbEquipe[Custo],tbEquipe[Tipo],Configuração!$F$4,tbEquipe[Mês],O$3)</f>
        <v>69436.329775315113</v>
      </c>
      <c r="P6" s="42">
        <f>SUMIFS(tbEquipe[Custo],tbEquipe[Tipo],Configuração!$F$2,tbEquipe[Mês],P$3)+SUMIFS(tbEquipe[Custo],tbEquipe[Tipo],Configuração!$F$4,tbEquipe[Mês],P$3)</f>
        <v>69436.329775315113</v>
      </c>
      <c r="Q6" s="42">
        <f>SUMIFS(tbEquipe[Custo],tbEquipe[Tipo],Configuração!$F$2,tbEquipe[Mês],Q$3)+SUMIFS(tbEquipe[Custo],tbEquipe[Tipo],Configuração!$F$4,tbEquipe[Mês],Q$3)</f>
        <v>5425.0568789864046</v>
      </c>
      <c r="R6" s="42">
        <f>SUMIFS(tbEquipe[Custo],tbEquipe[Tipo],Configuração!$F$2,tbEquipe[Mês],R$3)+SUMIFS(tbEquipe[Custo],tbEquipe[Tipo],Configuração!$F$4,tbEquipe[Mês],R$3)</f>
        <v>5750.5602917255892</v>
      </c>
      <c r="S6" s="42">
        <f>SUMIFS(tbEquipe[Custo],tbEquipe[Tipo],Configuração!$F$2,tbEquipe[Mês],S$3)+SUMIFS(tbEquipe[Custo],tbEquipe[Tipo],Configuração!$F$4,tbEquipe[Mês],S$3)</f>
        <v>5750.5602917255892</v>
      </c>
      <c r="T6" s="42">
        <f>SUMIFS(tbEquipe[Custo],tbEquipe[Tipo],Configuração!$F$2,tbEquipe[Mês],T$3)+SUMIFS(tbEquipe[Custo],tbEquipe[Tipo],Configuração!$F$4,tbEquipe[Mês],T$3)</f>
        <v>0</v>
      </c>
      <c r="U6" s="42">
        <f>SUMIFS(tbEquipe[Custo],tbEquipe[Tipo],Configuração!$F$2,tbEquipe[Mês],U$3)+SUMIFS(tbEquipe[Custo],tbEquipe[Tipo],Configuração!$F$4,tbEquipe[Mês],U$3)</f>
        <v>0</v>
      </c>
      <c r="V6" s="42">
        <f>SUMIFS(tbEquipe[Custo],tbEquipe[Tipo],Configuração!$F$2,tbEquipe[Mês],V$3)+SUMIFS(tbEquipe[Custo],tbEquipe[Tipo],Configuração!$F$4,tbEquipe[Mês],V$3)</f>
        <v>0</v>
      </c>
      <c r="W6" s="42">
        <f>SUMIFS(tbEquipe[Custo],tbEquipe[Tipo],Configuração!$F$2,tbEquipe[Mês],W$3)+SUMIFS(tbEquipe[Custo],tbEquipe[Tipo],Configuração!$F$4,tbEquipe[Mês],W$3)</f>
        <v>0</v>
      </c>
      <c r="X6" s="42">
        <f>SUMIFS(tbEquipe[Custo],tbEquipe[Tipo],Configuração!$F$2,tbEquipe[Mês],X$3)+SUMIFS(tbEquipe[Custo],tbEquipe[Tipo],Configuração!$F$4,tbEquipe[Mês],X$3)</f>
        <v>0</v>
      </c>
      <c r="Y6" s="42">
        <f>SUMIFS(tbEquipe[Custo],tbEquipe[Tipo],Configuração!$F$2,tbEquipe[Mês],Y$3)+SUMIFS(tbEquipe[Custo],tbEquipe[Tipo],Configuração!$F$4,tbEquipe[Mês],Y$3)</f>
        <v>0</v>
      </c>
      <c r="Z6" s="42">
        <f>SUMIFS(tbEquipe[Custo],tbEquipe[Tipo],Configuração!$F$2,tbEquipe[Mês],Z$3)+SUMIFS(tbEquipe[Custo],tbEquipe[Tipo],Configuração!$F$4,tbEquipe[Mês],Z$3)</f>
        <v>0</v>
      </c>
      <c r="AA6" s="42">
        <f>SUMIFS(tbEquipe[Custo],tbEquipe[Tipo],Configuração!$F$2,tbEquipe[Mês],AA$3)+SUMIFS(tbEquipe[Custo],tbEquipe[Tipo],Configuração!$F$4,tbEquipe[Mês],AA$3)</f>
        <v>0</v>
      </c>
      <c r="AD6" t="s">
        <v>9</v>
      </c>
      <c r="AE6">
        <v>829935.65453118295</v>
      </c>
      <c r="AF6">
        <v>92476.046209972803</v>
      </c>
      <c r="AG6">
        <v>105351.37261731575</v>
      </c>
      <c r="AH6">
        <v>105351.37261731575</v>
      </c>
      <c r="AI6">
        <v>105351.37261731575</v>
      </c>
      <c r="AJ6">
        <v>105351.37261731575</v>
      </c>
      <c r="AK6">
        <v>105351.37261731575</v>
      </c>
      <c r="AL6">
        <v>105351.37261731575</v>
      </c>
      <c r="AM6">
        <v>105351.37261731575</v>
      </c>
      <c r="AN6">
        <v>0</v>
      </c>
      <c r="AO6">
        <v>0</v>
      </c>
      <c r="AP6">
        <v>0</v>
      </c>
      <c r="AQ6">
        <v>0</v>
      </c>
      <c r="AS6" s="1">
        <f>SUM(AF6:AQ6)-C6</f>
        <v>-17879.580279200571</v>
      </c>
    </row>
    <row r="7" spans="1:45" ht="17.100000000000001" customHeight="1" x14ac:dyDescent="0.25">
      <c r="A7" s="12" t="s">
        <v>10</v>
      </c>
      <c r="B7" s="5" t="s">
        <v>11</v>
      </c>
      <c r="C7" s="6">
        <f>SUM(E7:AA7)</f>
        <v>169563.04696207665</v>
      </c>
      <c r="D7" s="7">
        <f t="shared" si="0"/>
        <v>4.7265220050360386E-2</v>
      </c>
      <c r="E7" s="42">
        <f>SUMIFS(tbEquipe[Custo],tbEquipe[Tipo],Configuração!$F$3,tbEquipe[Mês],E$3)+SUM(tbRHI[1])</f>
        <v>13417.885963895935</v>
      </c>
      <c r="F7" s="42">
        <f>SUMIFS(tbEquipe[Custo],tbEquipe[Tipo],Configuração!$F$3,tbEquipe[Mês],F$3)+SUM(tbRHI[2])</f>
        <v>13887.265955063023</v>
      </c>
      <c r="G7" s="42">
        <f>SUMIFS(tbEquipe[Custo],tbEquipe[Tipo],Configuração!$F$3,tbEquipe[Mês],G$3)+SUM(tbRHI[3])</f>
        <v>13887.265955063023</v>
      </c>
      <c r="H7" s="42">
        <f>SUMIFS(tbEquipe[Custo],tbEquipe[Tipo],Configuração!$F$3,tbEquipe[Mês],H$3)+SUM(tbRHI[4])</f>
        <v>13887.265955063023</v>
      </c>
      <c r="I7" s="42">
        <f>SUMIFS(tbEquipe[Custo],tbEquipe[Tipo],Configuração!$F$3,tbEquipe[Mês],I$3)+SUM(tbRHI[5])</f>
        <v>13887.265955063023</v>
      </c>
      <c r="J7" s="42">
        <f>SUMIFS(tbEquipe[Custo],tbEquipe[Tipo],Configuração!$F$3,tbEquipe[Mês],J$3)+SUM(tbRHI[6])</f>
        <v>13887.265955063023</v>
      </c>
      <c r="K7" s="42">
        <f>SUMIFS(tbEquipe[Custo],tbEquipe[Tipo],Configuração!$F$3,tbEquipe[Mês],K$3)+SUM(tbRHI[7])</f>
        <v>13887.265955063023</v>
      </c>
      <c r="L7" s="42">
        <f>SUMIFS(tbEquipe[Custo],tbEquipe[Tipo],Configuração!$F$3,tbEquipe[Mês],L$3)+SUM(tbRHI[8])</f>
        <v>13887.265955063023</v>
      </c>
      <c r="M7" s="42">
        <f>SUMIFS(tbEquipe[Custo],tbEquipe[Tipo],Configuração!$F$3,tbEquipe[Mês],M$3)+SUM(tbRHI[9])</f>
        <v>13887.265955063023</v>
      </c>
      <c r="N7" s="42">
        <f>SUMIFS(tbEquipe[Custo],tbEquipe[Tipo],Configuração!$F$3,tbEquipe[Mês],N$3)+SUM(tbRHI[10])</f>
        <v>13887.265955063023</v>
      </c>
      <c r="O7" s="42">
        <f>SUMIFS(tbEquipe[Custo],tbEquipe[Tipo],Configuração!$F$3,tbEquipe[Mês],O$3)+SUM(tbRHI[11])</f>
        <v>13887.265955063023</v>
      </c>
      <c r="P7" s="42">
        <f>SUMIFS(tbEquipe[Custo],tbEquipe[Tipo],Configuração!$F$3,tbEquipe[Mês],P$3)+SUM(tbRHI[12])</f>
        <v>13887.265955063023</v>
      </c>
      <c r="Q7" s="42">
        <f>SUMIFS(tbEquipe[Custo],tbEquipe[Tipo],Configuração!$F$3,tbEquipe[Mês],Q$3)+SUM(tbRHI[13])</f>
        <v>1085.0113757972811</v>
      </c>
      <c r="R7" s="42">
        <f>SUMIFS(tbEquipe[Custo],tbEquipe[Tipo],Configuração!$F$3,tbEquipe[Mês],R$3)+SUM(tbRHI[14])</f>
        <v>1150.1120583451179</v>
      </c>
      <c r="S7" s="42">
        <f>SUMIFS(tbEquipe[Custo],tbEquipe[Tipo],Configuração!$F$3,tbEquipe[Mês],S$3)+SUM(tbRHI[15])</f>
        <v>1150.1120583451179</v>
      </c>
      <c r="T7" s="42">
        <f>SUMIFS(tbEquipe[Custo],tbEquipe[Tipo],Configuração!$F$3,tbEquipe[Mês],T$3)+SUM(tbRHI[16])</f>
        <v>0</v>
      </c>
      <c r="U7" s="42">
        <f>SUMIFS(tbEquipe[Custo],tbEquipe[Tipo],Configuração!$F$3,tbEquipe[Mês],U$3)+SUM(tbRHI[17])</f>
        <v>0</v>
      </c>
      <c r="V7" s="42">
        <f>SUMIFS(tbEquipe[Custo],tbEquipe[Tipo],Configuração!$F$3,tbEquipe[Mês],V$3)+SUM(tbRHI[18])</f>
        <v>0</v>
      </c>
      <c r="W7" s="42">
        <f>SUMIFS(tbEquipe[Custo],tbEquipe[Tipo],Configuração!$F$3,tbEquipe[Mês],W$3)+SUM(tbRHI[19])</f>
        <v>0</v>
      </c>
      <c r="X7" s="42">
        <f>SUMIFS(tbEquipe[Custo],tbEquipe[Tipo],Configuração!$F$3,tbEquipe[Mês],X$3)+SUM(tbRHI[20])</f>
        <v>0</v>
      </c>
      <c r="Y7" s="42">
        <f>SUMIFS(tbEquipe[Custo],tbEquipe[Tipo],Configuração!$F$3,tbEquipe[Mês],Y$3)+SUM(tbRHI[21])</f>
        <v>0</v>
      </c>
      <c r="Z7" s="42">
        <f>SUMIFS(tbEquipe[Custo],tbEquipe[Tipo],Configuração!$F$3,tbEquipe[Mês],Z$3)+SUM(tbRHI[22])</f>
        <v>0</v>
      </c>
      <c r="AA7" s="42">
        <f>SUMIFS(tbEquipe[Custo],tbEquipe[Tipo],Configuração!$F$3,tbEquipe[Mês],AA$3)+SUM(tbRHI[23])</f>
        <v>0</v>
      </c>
      <c r="AD7" t="s">
        <v>11</v>
      </c>
      <c r="AE7">
        <v>174286.48745154843</v>
      </c>
      <c r="AF7">
        <v>19419.969704094292</v>
      </c>
      <c r="AG7">
        <v>22123.788249636309</v>
      </c>
      <c r="AH7">
        <v>22123.788249636309</v>
      </c>
      <c r="AI7">
        <v>22123.788249636309</v>
      </c>
      <c r="AJ7">
        <v>22123.788249636309</v>
      </c>
      <c r="AK7">
        <v>22123.788249636309</v>
      </c>
      <c r="AL7">
        <v>22123.788249636309</v>
      </c>
      <c r="AM7">
        <v>22123.788249636309</v>
      </c>
      <c r="AN7">
        <v>0</v>
      </c>
      <c r="AO7">
        <v>0</v>
      </c>
      <c r="AP7">
        <v>0</v>
      </c>
      <c r="AQ7">
        <v>0</v>
      </c>
      <c r="AS7" s="1">
        <f>SUM(AF7:AQ7)-C7</f>
        <v>4723.4404894717736</v>
      </c>
    </row>
    <row r="8" spans="1:45" ht="17.100000000000001" customHeight="1" x14ac:dyDescent="0.25">
      <c r="A8" s="12">
        <v>4</v>
      </c>
      <c r="B8" s="5" t="s">
        <v>12</v>
      </c>
      <c r="C8" s="6">
        <f>SUM(E8:AA8)</f>
        <v>390226.14308514737</v>
      </c>
      <c r="D8" s="7">
        <f t="shared" si="0"/>
        <v>0.10877443436392129</v>
      </c>
      <c r="E8" s="42">
        <f>SUMIFS(tbRubrica[Custo Total],tbRubrica[Rubrica],Configuração!$A$5,tbRubrica[Mês],E$3)</f>
        <v>0</v>
      </c>
      <c r="F8" s="42">
        <f>SUMIFS(tbRubrica[Custo Total],tbRubrica[Rubrica],Configuração!$A$5,tbRubrica[Mês],F$3)</f>
        <v>0</v>
      </c>
      <c r="G8" s="42">
        <f>SUMIFS(tbRubrica[Custo Total],tbRubrica[Rubrica],Configuração!$A$5,tbRubrica[Mês],G$3)</f>
        <v>390226.14308514737</v>
      </c>
      <c r="H8" s="42">
        <f>SUMIFS(tbRubrica[Custo Total],tbRubrica[Rubrica],Configuração!$A$5,tbRubrica[Mês],H$3)</f>
        <v>0</v>
      </c>
      <c r="I8" s="42">
        <f>SUMIFS(tbRubrica[Custo Total],tbRubrica[Rubrica],Configuração!$A$5,tbRubrica[Mês],I$3)</f>
        <v>0</v>
      </c>
      <c r="J8" s="42">
        <f>SUMIFS(tbRubrica[Custo Total],tbRubrica[Rubrica],Configuração!$A$5,tbRubrica[Mês],J$3)</f>
        <v>0</v>
      </c>
      <c r="K8" s="42">
        <f>SUMIFS(tbRubrica[Custo Total],tbRubrica[Rubrica],Configuração!$A$5,tbRubrica[Mês],K$3)</f>
        <v>0</v>
      </c>
      <c r="L8" s="42">
        <f>SUMIFS(tbRubrica[Custo Total],tbRubrica[Rubrica],Configuração!$A$5,tbRubrica[Mês],L$3)</f>
        <v>0</v>
      </c>
      <c r="M8" s="42">
        <f>SUMIFS(tbRubrica[Custo Total],tbRubrica[Rubrica],Configuração!$A$5,tbRubrica[Mês],M$3)</f>
        <v>0</v>
      </c>
      <c r="N8" s="42">
        <f>SUMIFS(tbRubrica[Custo Total],tbRubrica[Rubrica],Configuração!$A$5,tbRubrica[Mês],N$3)</f>
        <v>0</v>
      </c>
      <c r="O8" s="42">
        <f>SUMIFS(tbRubrica[Custo Total],tbRubrica[Rubrica],Configuração!$A$5,tbRubrica[Mês],O$3)</f>
        <v>0</v>
      </c>
      <c r="P8" s="42">
        <f>SUMIFS(tbRubrica[Custo Total],tbRubrica[Rubrica],Configuração!$A$5,tbRubrica[Mês],P$3)</f>
        <v>0</v>
      </c>
      <c r="Q8" s="42">
        <f>SUMIFS(tbRubrica[Custo Total],tbRubrica[Rubrica],Configuração!$A$5,tbRubrica[Mês],Q$3)</f>
        <v>0</v>
      </c>
      <c r="R8" s="42">
        <f>SUMIFS(tbRubrica[Custo Total],tbRubrica[Rubrica],Configuração!$A$5,tbRubrica[Mês],R$3)</f>
        <v>0</v>
      </c>
      <c r="S8" s="42">
        <f>SUMIFS(tbRubrica[Custo Total],tbRubrica[Rubrica],Configuração!$A$5,tbRubrica[Mês],S$3)</f>
        <v>0</v>
      </c>
      <c r="T8" s="42">
        <f>SUMIFS(tbRubrica[Custo Total],tbRubrica[Rubrica],Configuração!$A$5,tbRubrica[Mês],T$3)</f>
        <v>0</v>
      </c>
      <c r="U8" s="42">
        <f>SUMIFS(tbRubrica[Custo Total],tbRubrica[Rubrica],Configuração!$A$5,tbRubrica[Mês],U$3)</f>
        <v>0</v>
      </c>
      <c r="V8" s="42">
        <f>SUMIFS(tbRubrica[Custo Total],tbRubrica[Rubrica],Configuração!$A$5,tbRubrica[Mês],V$3)</f>
        <v>0</v>
      </c>
      <c r="W8" s="42">
        <f>SUMIFS(tbRubrica[Custo Total],tbRubrica[Rubrica],Configuração!$A$5,tbRubrica[Mês],W$3)</f>
        <v>0</v>
      </c>
      <c r="X8" s="42">
        <f>SUMIFS(tbRubrica[Custo Total],tbRubrica[Rubrica],Configuração!$A$5,tbRubrica[Mês],X$3)</f>
        <v>0</v>
      </c>
      <c r="Y8" s="42">
        <f>SUMIFS(tbRubrica[Custo Total],tbRubrica[Rubrica],Configuração!$A$5,tbRubrica[Mês],Y$3)</f>
        <v>0</v>
      </c>
      <c r="Z8" s="42">
        <f>SUMIFS(tbRubrica[Custo Total],tbRubrica[Rubrica],Configuração!$A$5,tbRubrica[Mês],Z$3)</f>
        <v>0</v>
      </c>
      <c r="AA8" s="42">
        <f>SUMIFS(tbRubrica[Custo Total],tbRubrica[Rubrica],Configuração!$A$5,tbRubrica[Mês],AA$3)</f>
        <v>0</v>
      </c>
    </row>
    <row r="9" spans="1:45" ht="17.100000000000001" customHeight="1" x14ac:dyDescent="0.25">
      <c r="A9" s="12">
        <v>5</v>
      </c>
      <c r="B9" s="5" t="s">
        <v>13</v>
      </c>
      <c r="C9" s="6">
        <f>SUM(E9:AA9)</f>
        <v>720254.41097079078</v>
      </c>
      <c r="D9" s="7">
        <f t="shared" si="0"/>
        <v>0.20076888117250546</v>
      </c>
      <c r="E9" s="42">
        <f>SUMIFS(tbRubrica[Custo Total],tbRubrica[Rubrica],Configuração!$A$6,tbRubrica[Mês],E$3)</f>
        <v>0</v>
      </c>
      <c r="F9" s="42">
        <f>SUMIFS(tbRubrica[Custo Total],tbRubrica[Rubrica],Configuração!$A$6,tbRubrica[Mês],F$3)</f>
        <v>720254.41097079078</v>
      </c>
      <c r="G9" s="42">
        <f>SUMIFS(tbRubrica[Custo Total],tbRubrica[Rubrica],Configuração!$A$6,tbRubrica[Mês],G$3)</f>
        <v>0</v>
      </c>
      <c r="H9" s="42">
        <f>SUMIFS(tbRubrica[Custo Total],tbRubrica[Rubrica],Configuração!$A$6,tbRubrica[Mês],H$3)</f>
        <v>0</v>
      </c>
      <c r="I9" s="42">
        <f>SUMIFS(tbRubrica[Custo Total],tbRubrica[Rubrica],Configuração!$A$6,tbRubrica[Mês],I$3)</f>
        <v>0</v>
      </c>
      <c r="J9" s="42">
        <f>SUMIFS(tbRubrica[Custo Total],tbRubrica[Rubrica],Configuração!$A$6,tbRubrica[Mês],J$3)</f>
        <v>0</v>
      </c>
      <c r="K9" s="42">
        <f>SUMIFS(tbRubrica[Custo Total],tbRubrica[Rubrica],Configuração!$A$6,tbRubrica[Mês],K$3)</f>
        <v>0</v>
      </c>
      <c r="L9" s="42">
        <f>SUMIFS(tbRubrica[Custo Total],tbRubrica[Rubrica],Configuração!$A$6,tbRubrica[Mês],L$3)</f>
        <v>0</v>
      </c>
      <c r="M9" s="42">
        <f>SUMIFS(tbRubrica[Custo Total],tbRubrica[Rubrica],Configuração!$A$6,tbRubrica[Mês],M$3)</f>
        <v>0</v>
      </c>
      <c r="N9" s="42">
        <f>SUMIFS(tbRubrica[Custo Total],tbRubrica[Rubrica],Configuração!$A$6,tbRubrica[Mês],N$3)</f>
        <v>0</v>
      </c>
      <c r="O9" s="42">
        <f>SUMIFS(tbRubrica[Custo Total],tbRubrica[Rubrica],Configuração!$A$6,tbRubrica[Mês],O$3)</f>
        <v>0</v>
      </c>
      <c r="P9" s="42">
        <f>SUMIFS(tbRubrica[Custo Total],tbRubrica[Rubrica],Configuração!$A$6,tbRubrica[Mês],P$3)</f>
        <v>0</v>
      </c>
      <c r="Q9" s="42">
        <f>SUMIFS(tbRubrica[Custo Total],tbRubrica[Rubrica],Configuração!$A$6,tbRubrica[Mês],Q$3)</f>
        <v>0</v>
      </c>
      <c r="R9" s="42">
        <f>SUMIFS(tbRubrica[Custo Total],tbRubrica[Rubrica],Configuração!$A$6,tbRubrica[Mês],R$3)</f>
        <v>0</v>
      </c>
      <c r="S9" s="42">
        <f>SUMIFS(tbRubrica[Custo Total],tbRubrica[Rubrica],Configuração!$A$6,tbRubrica[Mês],S$3)</f>
        <v>0</v>
      </c>
      <c r="T9" s="42">
        <f>SUMIFS(tbRubrica[Custo Total],tbRubrica[Rubrica],Configuração!$A$6,tbRubrica[Mês],T$3)</f>
        <v>0</v>
      </c>
      <c r="U9" s="42">
        <f>SUMIFS(tbRubrica[Custo Total],tbRubrica[Rubrica],Configuração!$A$6,tbRubrica[Mês],U$3)</f>
        <v>0</v>
      </c>
      <c r="V9" s="42">
        <f>SUMIFS(tbRubrica[Custo Total],tbRubrica[Rubrica],Configuração!$A$6,tbRubrica[Mês],V$3)</f>
        <v>0</v>
      </c>
      <c r="W9" s="42">
        <f>SUMIFS(tbRubrica[Custo Total],tbRubrica[Rubrica],Configuração!$A$6,tbRubrica[Mês],W$3)</f>
        <v>0</v>
      </c>
      <c r="X9" s="42">
        <f>SUMIFS(tbRubrica[Custo Total],tbRubrica[Rubrica],Configuração!$A$6,tbRubrica[Mês],X$3)</f>
        <v>0</v>
      </c>
      <c r="Y9" s="42">
        <f>SUMIFS(tbRubrica[Custo Total],tbRubrica[Rubrica],Configuração!$A$6,tbRubrica[Mês],Y$3)</f>
        <v>0</v>
      </c>
      <c r="Z9" s="42">
        <f>SUMIFS(tbRubrica[Custo Total],tbRubrica[Rubrica],Configuração!$A$6,tbRubrica[Mês],Z$3)</f>
        <v>0</v>
      </c>
      <c r="AA9" s="42">
        <f>SUMIFS(tbRubrica[Custo Total],tbRubrica[Rubrica],Configuração!$A$6,tbRubrica[Mês],AA$3)</f>
        <v>0</v>
      </c>
      <c r="AE9">
        <f>SUM(AF11:AQ11)/12</f>
        <v>18493.443318545462</v>
      </c>
    </row>
    <row r="10" spans="1:45" ht="17.100000000000001" customHeight="1" x14ac:dyDescent="0.25">
      <c r="A10" s="28"/>
      <c r="B10" s="29" t="s">
        <v>14</v>
      </c>
      <c r="C10" s="30">
        <f>SUM(C4:C9)</f>
        <v>2467943.6394853285</v>
      </c>
      <c r="D10" s="31">
        <f>IFERROR(C10/$C$21,0)</f>
        <v>0.68793231356741325</v>
      </c>
      <c r="E10" s="30">
        <f t="shared" ref="E10:P10" si="1">SUM(E4:E9)</f>
        <v>420592.1194403058</v>
      </c>
      <c r="F10" s="30">
        <f t="shared" si="1"/>
        <v>803578.00670116895</v>
      </c>
      <c r="G10" s="30">
        <f t="shared" si="1"/>
        <v>473549.73881552549</v>
      </c>
      <c r="H10" s="30">
        <f t="shared" si="1"/>
        <v>83323.595730378132</v>
      </c>
      <c r="I10" s="30">
        <f t="shared" si="1"/>
        <v>83323.595730378132</v>
      </c>
      <c r="J10" s="30">
        <f t="shared" si="1"/>
        <v>83323.595730378132</v>
      </c>
      <c r="K10" s="30">
        <f t="shared" si="1"/>
        <v>83323.595730378132</v>
      </c>
      <c r="L10" s="30">
        <f t="shared" si="1"/>
        <v>83323.595730378132</v>
      </c>
      <c r="M10" s="30">
        <f t="shared" si="1"/>
        <v>83323.595730378132</v>
      </c>
      <c r="N10" s="30">
        <f t="shared" si="1"/>
        <v>83323.595730378132</v>
      </c>
      <c r="O10" s="30">
        <f t="shared" si="1"/>
        <v>83323.595730378132</v>
      </c>
      <c r="P10" s="30">
        <f t="shared" si="1"/>
        <v>83323.595730378132</v>
      </c>
      <c r="Q10" s="30">
        <f t="shared" ref="Q10:AA10" si="2">SUM(Q4:Q9)</f>
        <v>6510.0682547836859</v>
      </c>
      <c r="R10" s="30">
        <f t="shared" si="2"/>
        <v>6900.6723500707067</v>
      </c>
      <c r="S10" s="30">
        <f t="shared" si="2"/>
        <v>6900.6723500707067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</row>
    <row r="11" spans="1:45" ht="17.100000000000001" customHeight="1" x14ac:dyDescent="0.25">
      <c r="A11" s="12" t="s">
        <v>15</v>
      </c>
      <c r="B11" s="5" t="str">
        <f>Configuração!A7</f>
        <v>Outros correlatos</v>
      </c>
      <c r="C11" s="6">
        <f>SUM(E11:AA11)</f>
        <v>222666.60386183698</v>
      </c>
      <c r="D11" s="7">
        <f>IFERROR(C11/$C$21,0)</f>
        <v>6.2067686432586727E-2</v>
      </c>
      <c r="E11" s="42">
        <f>SUMIFS(tbRubrica[Custo Total],tbRubrica[Rubrica],Configuração!$A$7,tbRubrica[Mês],E$3)+SUM(tbRateio[1])</f>
        <v>110059.95635627562</v>
      </c>
      <c r="F11" s="42">
        <f>SUMIFS(tbRubrica[Observações],tbRubrica[Descrição],Configuração!$A$7,tbRubrica[Quantidade],F$3)+SUM(tbRateio[2])</f>
        <v>10102.461437590819</v>
      </c>
      <c r="G11" s="42">
        <f>SUMIFS(tbRubrica[Coluna1],tbRubrica[Justificativa],Configuração!$A$7,tbRubrica[Custo Unitário],G$3)+SUM(tbRateio[3])</f>
        <v>10102.461437590819</v>
      </c>
      <c r="H11" s="42">
        <f>SUMIFS(tbRubrica[Rubrica],tbRubrica[Mês],Configuração!$A$7,tbRubrica[Frete],H$3)+SUM(tbRateio[4])</f>
        <v>10102.461437590819</v>
      </c>
      <c r="I11" s="42">
        <f>SUMIFS(tbRubrica[Descrição],tbRubrica[Quantidade],Configuração!$A$7,tbRubrica[Custo Total],I$3)+SUM(tbRateio[5])</f>
        <v>10102.461437590819</v>
      </c>
      <c r="J11" s="42">
        <f>SUMIFS(tbRubrica[Justificativa],tbRubrica[Custo Unitário],Configuração!$A$7,tbRubrica[Observações],J$3)+SUM(tbRateio[6])</f>
        <v>10102.461437590819</v>
      </c>
      <c r="K11" s="42">
        <f>SUMIFS(tbRubrica[Mês],tbRubrica[Frete],Configuração!$A$7,tbRubrica[Coluna1],K$3)+SUM(tbRateio[7])</f>
        <v>10102.461437590819</v>
      </c>
      <c r="L11" s="42">
        <f>SUMIFS(tbRubrica[Quantidade],tbRubrica[Custo Total],Configuração!$A$7,tbRubrica[Rubrica],L$3)+SUM(tbRateio[8])</f>
        <v>10102.461437590819</v>
      </c>
      <c r="M11" s="42">
        <f>SUMIFS(tbRubrica[Custo Unitário],tbRubrica[Observações],Configuração!$A$7,tbRubrica[Descrição],M$3)+SUM(tbRateio[9])</f>
        <v>10102.461437590819</v>
      </c>
      <c r="N11" s="42">
        <f>SUMIFS(tbRubrica[Frete],tbRubrica[Coluna1],Configuração!$A$7,tbRubrica[Justificativa],N$3)+SUM(tbRateio[10])</f>
        <v>10102.461437590819</v>
      </c>
      <c r="O11" s="42">
        <f>SUMIFS(tbRubrica[Custo Total],tbRubrica[Rubrica],Configuração!$A$7,tbRubrica[Mês],O$3)+SUM(tbRateio[11])</f>
        <v>10102.461437590819</v>
      </c>
      <c r="P11" s="42">
        <f>SUMIFS(tbRubrica[Observações],tbRubrica[Descrição],Configuração!$A$7,tbRubrica[Quantidade],P$3)+SUM(tbRateio[12])</f>
        <v>10102.461437590819</v>
      </c>
      <c r="Q11" s="42">
        <f>SUMIFS(tbRubrica[Coluna1],tbRubrica[Justificativa],Configuração!$A$7,tbRubrica[Custo Unitário],Q$3)+SUM(tbRateio[13])</f>
        <v>489.26040102922889</v>
      </c>
      <c r="R11" s="42">
        <f>SUMIFS(tbRubrica[Rubrica],tbRubrica[Mês],Configuração!$A$7,tbRubrica[Frete],R$3)+SUM(tbRateio[14])</f>
        <v>495.15564551651471</v>
      </c>
      <c r="S11" s="42">
        <f>SUMIFS(tbRubrica[Descrição],tbRubrica[Quantidade],Configuração!$A$7,tbRubrica[Custo Total],S$3)+SUM(tbRateio[15])</f>
        <v>495.15564551651471</v>
      </c>
      <c r="T11" s="42">
        <f>SUMIFS(tbRubrica[Custo Total],tbRubrica[Rubrica],Configuração!$A$7,tbRubrica[Mês],T$3)+SUM(tbRateio[16])</f>
        <v>0</v>
      </c>
      <c r="U11" s="42">
        <f>SUMIFS(tbRubrica[Custo Total],tbRubrica[Rubrica],Configuração!$A$7,tbRubrica[Mês],U$3)+SUM(tbRateio[17])</f>
        <v>0</v>
      </c>
      <c r="V11" s="42">
        <f>SUMIFS(tbRubrica[Custo Total],tbRubrica[Rubrica],Configuração!$A$7,tbRubrica[Mês],V$3)+SUM(tbRateio[18])</f>
        <v>0</v>
      </c>
      <c r="W11" s="42">
        <f>SUMIFS(tbRubrica[Custo Total],tbRubrica[Rubrica],Configuração!$A$7,tbRubrica[Mês],W$3)+SUM(tbRateio[19])</f>
        <v>0</v>
      </c>
      <c r="X11" s="42">
        <f>SUMIFS(tbRubrica[Custo Total],tbRubrica[Rubrica],Configuração!$A$7,tbRubrica[Mês],X$3)+SUM(tbRateio[20])</f>
        <v>0</v>
      </c>
      <c r="Y11" s="42">
        <f>SUMIFS(tbRubrica[Custo Total],tbRubrica[Rubrica],Configuração!$A$7,tbRubrica[Mês],Y$3)+SUM(tbRateio[21])</f>
        <v>0</v>
      </c>
      <c r="Z11" s="42">
        <f>SUMIFS(tbRubrica[Custo Total],tbRubrica[Rubrica],Configuração!$A$7,tbRubrica[Mês],Z$3)+SUM(tbRateio[22])</f>
        <v>0</v>
      </c>
      <c r="AA11" s="42">
        <f>SUMIFS(tbRubrica[Custo Total],tbRubrica[Rubrica],Configuração!$A$7,tbRubrica[Mês],AA$3)+SUM(tbRateio[23])</f>
        <v>0</v>
      </c>
      <c r="AD11" t="s">
        <v>53</v>
      </c>
      <c r="AE11">
        <v>291921.31982254551</v>
      </c>
      <c r="AF11">
        <v>113606.08260705549</v>
      </c>
      <c r="AG11">
        <v>15473.605316498573</v>
      </c>
      <c r="AH11">
        <v>15473.605316498573</v>
      </c>
      <c r="AI11">
        <v>15473.605316498573</v>
      </c>
      <c r="AJ11">
        <v>15473.605316498573</v>
      </c>
      <c r="AK11">
        <v>15473.605316498573</v>
      </c>
      <c r="AL11">
        <v>15473.605316498573</v>
      </c>
      <c r="AM11">
        <v>15473.605316498573</v>
      </c>
      <c r="AN11">
        <v>0</v>
      </c>
      <c r="AO11">
        <v>0</v>
      </c>
      <c r="AP11">
        <v>0</v>
      </c>
      <c r="AQ11">
        <v>0</v>
      </c>
      <c r="AS11" s="1">
        <f>SUM(AF11:AQ11)-C11</f>
        <v>-745.28403929143678</v>
      </c>
    </row>
    <row r="12" spans="1:45" ht="17.100000000000001" customHeight="1" x14ac:dyDescent="0.25">
      <c r="A12" s="12" t="s">
        <v>16</v>
      </c>
      <c r="B12" s="5" t="str">
        <f>Configuração!A8</f>
        <v>Treinamentos</v>
      </c>
      <c r="C12" s="6">
        <f>SUM(E12:AA12)</f>
        <v>0</v>
      </c>
      <c r="D12" s="7">
        <f t="shared" ref="D12:D15" si="3">IFERROR(C12/$C$21,0)</f>
        <v>0</v>
      </c>
      <c r="E12" s="42">
        <f>SUMIFS(tbRubrica[Custo Total],tbRubrica[Rubrica],Configuração!$A$8,tbRubrica[Mês],E$3)</f>
        <v>0</v>
      </c>
      <c r="F12" s="42">
        <f>SUMIFS(tbRubrica[Custo Total],tbRubrica[Rubrica],Configuração!$A$8,tbRubrica[Mês],F$3)</f>
        <v>0</v>
      </c>
      <c r="G12" s="42">
        <f>SUMIFS(tbRubrica[Custo Total],tbRubrica[Rubrica],Configuração!$A$8,tbRubrica[Mês],G$3)</f>
        <v>0</v>
      </c>
      <c r="H12" s="42">
        <f>SUMIFS(tbRubrica[Custo Total],tbRubrica[Rubrica],Configuração!$A$8,tbRubrica[Mês],H$3)</f>
        <v>0</v>
      </c>
      <c r="I12" s="42">
        <f>SUMIFS(tbRubrica[Custo Total],tbRubrica[Rubrica],Configuração!$A$8,tbRubrica[Mês],I$3)</f>
        <v>0</v>
      </c>
      <c r="J12" s="42">
        <f>SUMIFS(tbRubrica[Custo Total],tbRubrica[Rubrica],Configuração!$A$8,tbRubrica[Mês],J$3)</f>
        <v>0</v>
      </c>
      <c r="K12" s="42">
        <f>SUMIFS(tbRubrica[Custo Total],tbRubrica[Rubrica],Configuração!$A$8,tbRubrica[Mês],K$3)</f>
        <v>0</v>
      </c>
      <c r="L12" s="42">
        <f>SUMIFS(tbRubrica[Custo Total],tbRubrica[Rubrica],Configuração!$A$8,tbRubrica[Mês],L$3)</f>
        <v>0</v>
      </c>
      <c r="M12" s="42">
        <f>SUMIFS(tbRubrica[Custo Total],tbRubrica[Rubrica],Configuração!$A$8,tbRubrica[Mês],M$3)</f>
        <v>0</v>
      </c>
      <c r="N12" s="42">
        <f>SUMIFS(tbRubrica[Custo Total],tbRubrica[Rubrica],Configuração!$A$8,tbRubrica[Mês],N$3)</f>
        <v>0</v>
      </c>
      <c r="O12" s="42">
        <f>SUMIFS(tbRubrica[Custo Total],tbRubrica[Rubrica],Configuração!$A$8,tbRubrica[Mês],O$3)</f>
        <v>0</v>
      </c>
      <c r="P12" s="42">
        <f>SUMIFS(tbRubrica[Custo Total],tbRubrica[Rubrica],Configuração!$A$8,tbRubrica[Mês],P$3)</f>
        <v>0</v>
      </c>
      <c r="Q12" s="42">
        <f>SUMIFS(tbRubrica[Custo Total],tbRubrica[Rubrica],Configuração!$A$8,tbRubrica[Mês],Q$3)</f>
        <v>0</v>
      </c>
      <c r="R12" s="42">
        <f>SUMIFS(tbRubrica[Custo Total],tbRubrica[Rubrica],Configuração!$A$8,tbRubrica[Mês],R$3)</f>
        <v>0</v>
      </c>
      <c r="S12" s="42">
        <f>SUMIFS(tbRubrica[Custo Total],tbRubrica[Rubrica],Configuração!$A$8,tbRubrica[Mês],S$3)</f>
        <v>0</v>
      </c>
      <c r="T12" s="42">
        <f>SUMIFS(tbRubrica[Custo Total],tbRubrica[Rubrica],Configuração!$A$8,tbRubrica[Mês],T$3)</f>
        <v>0</v>
      </c>
      <c r="U12" s="42">
        <f>SUMIFS(tbRubrica[Custo Total],tbRubrica[Rubrica],Configuração!$A$8,tbRubrica[Mês],U$3)</f>
        <v>0</v>
      </c>
      <c r="V12" s="42">
        <f>SUMIFS(tbRubrica[Custo Total],tbRubrica[Rubrica],Configuração!$A$8,tbRubrica[Mês],V$3)</f>
        <v>0</v>
      </c>
      <c r="W12" s="42">
        <f>SUMIFS(tbRubrica[Custo Total],tbRubrica[Rubrica],Configuração!$A$8,tbRubrica[Mês],W$3)</f>
        <v>0</v>
      </c>
      <c r="X12" s="42">
        <f>SUMIFS(tbRubrica[Custo Total],tbRubrica[Rubrica],Configuração!$A$8,tbRubrica[Mês],X$3)</f>
        <v>0</v>
      </c>
      <c r="Y12" s="42">
        <f>SUMIFS(tbRubrica[Custo Total],tbRubrica[Rubrica],Configuração!$A$8,tbRubrica[Mês],Y$3)</f>
        <v>0</v>
      </c>
      <c r="Z12" s="42">
        <f>SUMIFS(tbRubrica[Custo Total],tbRubrica[Rubrica],Configuração!$A$8,tbRubrica[Mês],Z$3)</f>
        <v>0</v>
      </c>
      <c r="AA12" s="42">
        <f>SUMIFS(tbRubrica[Custo Total],tbRubrica[Rubrica],Configuração!$A$8,tbRubrica[Mês],AA$3)</f>
        <v>0</v>
      </c>
    </row>
    <row r="13" spans="1:45" ht="17.100000000000001" customHeight="1" x14ac:dyDescent="0.25">
      <c r="A13" s="12" t="s">
        <v>17</v>
      </c>
      <c r="B13" s="5" t="str">
        <f>Configuração!A9</f>
        <v>Livros e Periódicos</v>
      </c>
      <c r="C13" s="6">
        <f>SUM(E13:AA13)</f>
        <v>0</v>
      </c>
      <c r="D13" s="7">
        <f t="shared" si="3"/>
        <v>0</v>
      </c>
      <c r="E13" s="42">
        <f>SUMIFS(tbRubrica[Custo Total],tbRubrica[Rubrica],Configuração!$A$9,tbRubrica[Mês],E$3)</f>
        <v>0</v>
      </c>
      <c r="F13" s="42">
        <f>SUMIFS(tbRubrica[Custo Total],tbRubrica[Rubrica],Configuração!$A$9,tbRubrica[Mês],F$3)</f>
        <v>0</v>
      </c>
      <c r="G13" s="42">
        <f>SUMIFS(tbRubrica[Custo Total],tbRubrica[Rubrica],Configuração!$A$9,tbRubrica[Mês],G$3)</f>
        <v>0</v>
      </c>
      <c r="H13" s="42">
        <f>SUMIFS(tbRubrica[Custo Total],tbRubrica[Rubrica],Configuração!$A$9,tbRubrica[Mês],H$3)</f>
        <v>0</v>
      </c>
      <c r="I13" s="42">
        <f>SUMIFS(tbRubrica[Custo Total],tbRubrica[Rubrica],Configuração!$A$9,tbRubrica[Mês],I$3)</f>
        <v>0</v>
      </c>
      <c r="J13" s="42">
        <f>SUMIFS(tbRubrica[Custo Total],tbRubrica[Rubrica],Configuração!$A$9,tbRubrica[Mês],J$3)</f>
        <v>0</v>
      </c>
      <c r="K13" s="42">
        <f>SUMIFS(tbRubrica[Custo Total],tbRubrica[Rubrica],Configuração!$A$9,tbRubrica[Mês],K$3)</f>
        <v>0</v>
      </c>
      <c r="L13" s="42">
        <f>SUMIFS(tbRubrica[Custo Total],tbRubrica[Rubrica],Configuração!$A$9,tbRubrica[Mês],L$3)</f>
        <v>0</v>
      </c>
      <c r="M13" s="42">
        <f>SUMIFS(tbRubrica[Custo Total],tbRubrica[Rubrica],Configuração!$A$9,tbRubrica[Mês],M$3)</f>
        <v>0</v>
      </c>
      <c r="N13" s="42">
        <f>SUMIFS(tbRubrica[Custo Total],tbRubrica[Rubrica],Configuração!$A$9,tbRubrica[Mês],N$3)</f>
        <v>0</v>
      </c>
      <c r="O13" s="42">
        <f>SUMIFS(tbRubrica[Custo Total],tbRubrica[Rubrica],Configuração!$A$9,tbRubrica[Mês],O$3)</f>
        <v>0</v>
      </c>
      <c r="P13" s="42">
        <f>SUMIFS(tbRubrica[Custo Total],tbRubrica[Rubrica],Configuração!$A$9,tbRubrica[Mês],P$3)</f>
        <v>0</v>
      </c>
      <c r="Q13" s="42">
        <f>SUMIFS(tbRubrica[Custo Total],tbRubrica[Rubrica],Configuração!$A$9,tbRubrica[Mês],Q$3)</f>
        <v>0</v>
      </c>
      <c r="R13" s="42">
        <f>SUMIFS(tbRubrica[Custo Total],tbRubrica[Rubrica],Configuração!$A$9,tbRubrica[Mês],R$3)</f>
        <v>0</v>
      </c>
      <c r="S13" s="42">
        <f>SUMIFS(tbRubrica[Custo Total],tbRubrica[Rubrica],Configuração!$A$9,tbRubrica[Mês],S$3)</f>
        <v>0</v>
      </c>
      <c r="T13" s="42">
        <f>SUMIFS(tbRubrica[Custo Total],tbRubrica[Rubrica],Configuração!$A$9,tbRubrica[Mês],T$3)</f>
        <v>0</v>
      </c>
      <c r="U13" s="42">
        <f>SUMIFS(tbRubrica[Custo Total],tbRubrica[Rubrica],Configuração!$A$9,tbRubrica[Mês],U$3)</f>
        <v>0</v>
      </c>
      <c r="V13" s="42">
        <f>SUMIFS(tbRubrica[Custo Total],tbRubrica[Rubrica],Configuração!$A$9,tbRubrica[Mês],V$3)</f>
        <v>0</v>
      </c>
      <c r="W13" s="42">
        <f>SUMIFS(tbRubrica[Custo Total],tbRubrica[Rubrica],Configuração!$A$9,tbRubrica[Mês],W$3)</f>
        <v>0</v>
      </c>
      <c r="X13" s="42">
        <f>SUMIFS(tbRubrica[Custo Total],tbRubrica[Rubrica],Configuração!$A$9,tbRubrica[Mês],X$3)</f>
        <v>0</v>
      </c>
      <c r="Y13" s="42">
        <f>SUMIFS(tbRubrica[Custo Total],tbRubrica[Rubrica],Configuração!$A$9,tbRubrica[Mês],Y$3)</f>
        <v>0</v>
      </c>
      <c r="Z13" s="42">
        <f>SUMIFS(tbRubrica[Custo Total],tbRubrica[Rubrica],Configuração!$A$9,tbRubrica[Mês],Z$3)</f>
        <v>0</v>
      </c>
      <c r="AA13" s="42">
        <f>SUMIFS(tbRubrica[Custo Total],tbRubrica[Rubrica],Configuração!$A$9,tbRubrica[Mês],AA$3)</f>
        <v>0</v>
      </c>
    </row>
    <row r="14" spans="1:45" ht="17.100000000000001" customHeight="1" x14ac:dyDescent="0.25">
      <c r="A14" s="12" t="s">
        <v>18</v>
      </c>
      <c r="B14" s="5" t="str">
        <f>Configuração!A10</f>
        <v>Viagens</v>
      </c>
      <c r="C14" s="6">
        <f>SUM(E14:AA14)</f>
        <v>0</v>
      </c>
      <c r="D14" s="7">
        <f t="shared" si="3"/>
        <v>0</v>
      </c>
      <c r="E14" s="42">
        <f>SUMIFS(tbRubrica[Custo Total],tbRubrica[Rubrica],Configuração!$A$10,tbRubrica[Mês],E$3)</f>
        <v>0</v>
      </c>
      <c r="F14" s="42">
        <f>SUMIFS(tbRubrica[Custo Total],tbRubrica[Rubrica],Configuração!$A$10,tbRubrica[Mês],F$3)</f>
        <v>0</v>
      </c>
      <c r="G14" s="42">
        <f>SUMIFS(tbRubrica[Custo Total],tbRubrica[Rubrica],Configuração!$A$10,tbRubrica[Mês],G$3)</f>
        <v>0</v>
      </c>
      <c r="H14" s="42">
        <f>SUMIFS(tbRubrica[Custo Total],tbRubrica[Rubrica],Configuração!$A$10,tbRubrica[Mês],H$3)</f>
        <v>0</v>
      </c>
      <c r="I14" s="42">
        <f>SUMIFS(tbRubrica[Custo Total],tbRubrica[Rubrica],Configuração!$A$10,tbRubrica[Mês],I$3)</f>
        <v>0</v>
      </c>
      <c r="J14" s="42">
        <f>SUMIFS(tbRubrica[Custo Total],tbRubrica[Rubrica],Configuração!$A$10,tbRubrica[Mês],J$3)</f>
        <v>0</v>
      </c>
      <c r="K14" s="42">
        <f>SUMIFS(tbRubrica[Custo Total],tbRubrica[Rubrica],Configuração!$A$10,tbRubrica[Mês],K$3)</f>
        <v>0</v>
      </c>
      <c r="L14" s="42">
        <f>SUMIFS(tbRubrica[Custo Total],tbRubrica[Rubrica],Configuração!$A$10,tbRubrica[Mês],L$3)</f>
        <v>0</v>
      </c>
      <c r="M14" s="42">
        <f>SUMIFS(tbRubrica[Custo Total],tbRubrica[Rubrica],Configuração!$A$10,tbRubrica[Mês],M$3)</f>
        <v>0</v>
      </c>
      <c r="N14" s="42">
        <f>SUMIFS(tbRubrica[Custo Total],tbRubrica[Rubrica],Configuração!$A$10,tbRubrica[Mês],N$3)</f>
        <v>0</v>
      </c>
      <c r="O14" s="42">
        <f>SUMIFS(tbRubrica[Custo Total],tbRubrica[Rubrica],Configuração!$A$10,tbRubrica[Mês],O$3)</f>
        <v>0</v>
      </c>
      <c r="P14" s="42">
        <f>SUMIFS(tbRubrica[Custo Total],tbRubrica[Rubrica],Configuração!$A$10,tbRubrica[Mês],P$3)</f>
        <v>0</v>
      </c>
      <c r="Q14" s="42">
        <f>SUMIFS(tbRubrica[Custo Total],tbRubrica[Rubrica],Configuração!$A$10,tbRubrica[Mês],Q$3)</f>
        <v>0</v>
      </c>
      <c r="R14" s="42">
        <f>SUMIFS(tbRubrica[Custo Total],tbRubrica[Rubrica],Configuração!$A$10,tbRubrica[Mês],R$3)</f>
        <v>0</v>
      </c>
      <c r="S14" s="42">
        <f>SUMIFS(tbRubrica[Custo Total],tbRubrica[Rubrica],Configuração!$A$10,tbRubrica[Mês],S$3)</f>
        <v>0</v>
      </c>
      <c r="T14" s="42">
        <f>SUMIFS(tbRubrica[Custo Total],tbRubrica[Rubrica],Configuração!$A$10,tbRubrica[Mês],T$3)</f>
        <v>0</v>
      </c>
      <c r="U14" s="42">
        <f>SUMIFS(tbRubrica[Custo Total],tbRubrica[Rubrica],Configuração!$A$10,tbRubrica[Mês],U$3)</f>
        <v>0</v>
      </c>
      <c r="V14" s="42">
        <f>SUMIFS(tbRubrica[Custo Total],tbRubrica[Rubrica],Configuração!$A$10,tbRubrica[Mês],V$3)</f>
        <v>0</v>
      </c>
      <c r="W14" s="42">
        <f>SUMIFS(tbRubrica[Custo Total],tbRubrica[Rubrica],Configuração!$A$10,tbRubrica[Mês],W$3)</f>
        <v>0</v>
      </c>
      <c r="X14" s="42">
        <f>SUMIFS(tbRubrica[Custo Total],tbRubrica[Rubrica],Configuração!$A$10,tbRubrica[Mês],X$3)</f>
        <v>0</v>
      </c>
      <c r="Y14" s="42">
        <f>SUMIFS(tbRubrica[Custo Total],tbRubrica[Rubrica],Configuração!$A$10,tbRubrica[Mês],Y$3)</f>
        <v>0</v>
      </c>
      <c r="Z14" s="42">
        <f>SUMIFS(tbRubrica[Custo Total],tbRubrica[Rubrica],Configuração!$A$10,tbRubrica[Mês],Z$3)</f>
        <v>0</v>
      </c>
      <c r="AA14" s="42">
        <f>SUMIFS(tbRubrica[Custo Total],tbRubrica[Rubrica],Configuração!$A$10,tbRubrica[Mês],AA$3)</f>
        <v>0</v>
      </c>
    </row>
    <row r="15" spans="1:45" ht="17.100000000000001" customHeight="1" x14ac:dyDescent="0.25">
      <c r="A15" s="12" t="s">
        <v>19</v>
      </c>
      <c r="B15" s="5" t="s">
        <v>20</v>
      </c>
      <c r="C15" s="6">
        <f>SUM(E15:AA15)</f>
        <v>179374.0162231444</v>
      </c>
      <c r="D15" s="7">
        <f t="shared" si="3"/>
        <v>5.000000000000001E-2</v>
      </c>
      <c r="E15" s="42">
        <f>SUM(E10:E14)/(1-SUM(Configuração!$D$2,Configuração!$D$5:$D$6))*Configuração!$D$5</f>
        <v>35376.805053105432</v>
      </c>
      <c r="F15" s="42">
        <f>SUM(F10:F14)/(1-SUM(Configuração!$D$2,Configuração!$D$5:$D$6))*Configuração!$D$5</f>
        <v>54245.364542583986</v>
      </c>
      <c r="G15" s="42">
        <f>SUM(G10:G14)/(1-SUM(Configuração!$D$2,Configuração!$D$5:$D$6))*Configuração!$D$5</f>
        <v>32243.480016874426</v>
      </c>
      <c r="H15" s="42">
        <f>SUM(H10:H14)/(1-SUM(Configuração!$D$2,Configuração!$D$5:$D$6))*Configuração!$D$5</f>
        <v>6228.4038111979298</v>
      </c>
      <c r="I15" s="42">
        <f>SUM(I10:I14)/(1-SUM(Configuração!$D$2,Configuração!$D$5:$D$6))*Configuração!$D$5</f>
        <v>6228.4038111979298</v>
      </c>
      <c r="J15" s="42">
        <f>SUM(J10:J14)/(1-SUM(Configuração!$D$2,Configuração!$D$5:$D$6))*Configuração!$D$5</f>
        <v>6228.4038111979298</v>
      </c>
      <c r="K15" s="42">
        <f>SUM(K10:K14)/(1-SUM(Configuração!$D$2,Configuração!$D$5:$D$6))*Configuração!$D$5</f>
        <v>6228.4038111979298</v>
      </c>
      <c r="L15" s="42">
        <f>SUM(L10:L14)/(1-SUM(Configuração!$D$2,Configuração!$D$5:$D$6))*Configuração!$D$5</f>
        <v>6228.4038111979298</v>
      </c>
      <c r="M15" s="42">
        <f>SUM(M10:M14)/(1-SUM(Configuração!$D$2,Configuração!$D$5:$D$6))*Configuração!$D$5</f>
        <v>6228.4038111979298</v>
      </c>
      <c r="N15" s="42">
        <f>SUM(N10:N14)/(1-SUM(Configuração!$D$2,Configuração!$D$5:$D$6))*Configuração!$D$5</f>
        <v>6228.4038111979298</v>
      </c>
      <c r="O15" s="42">
        <f>SUM(O10:O14)/(1-SUM(Configuração!$D$2,Configuração!$D$5:$D$6))*Configuração!$D$5</f>
        <v>6228.4038111979298</v>
      </c>
      <c r="P15" s="42">
        <f>SUM(P10:P14)/(1-SUM(Configuração!$D$2,Configuração!$D$5:$D$6))*Configuração!$D$5</f>
        <v>6228.4038111979298</v>
      </c>
      <c r="Q15" s="42">
        <f>SUM(Q10:Q14)/(1-SUM(Configuração!$D$2,Configuração!$D$5:$D$6))*Configuração!$D$5</f>
        <v>466.62191038752763</v>
      </c>
      <c r="R15" s="42">
        <f>SUM(R10:R14)/(1-SUM(Configuração!$D$2,Configuração!$D$5:$D$6))*Configuração!$D$5</f>
        <v>493.05519970581474</v>
      </c>
      <c r="S15" s="42">
        <f>SUM(S10:S14)/(1-SUM(Configuração!$D$2,Configuração!$D$5:$D$6))*Configuração!$D$5</f>
        <v>493.05519970581474</v>
      </c>
      <c r="T15" s="42">
        <f>SUM(T10:T14)/(1-SUM(Configuração!$D$2,Configuração!$D$5:$D$6))*Configuração!$D$5</f>
        <v>0</v>
      </c>
      <c r="U15" s="42">
        <f>SUM(U10:U14)/(1-SUM(Configuração!$D$2,Configuração!$D$5:$D$6))*Configuração!$D$5</f>
        <v>0</v>
      </c>
      <c r="V15" s="42">
        <f>SUM(V10:V14)/(1-SUM(Configuração!$D$2,Configuração!$D$5:$D$6))*Configuração!$D$5</f>
        <v>0</v>
      </c>
      <c r="W15" s="42">
        <f>SUM(W10:W14)/(1-SUM(Configuração!$D$2,Configuração!$D$5:$D$6))*Configuração!$D$5</f>
        <v>0</v>
      </c>
      <c r="X15" s="42">
        <f>SUM(X10:X14)/(1-SUM(Configuração!$D$2,Configuração!$D$5:$D$6))*Configuração!$D$5</f>
        <v>0</v>
      </c>
      <c r="Y15" s="42">
        <f>SUM(Y10:Y14)/(1-SUM(Configuração!$D$2,Configuração!$D$5:$D$6))*Configuração!$D$5</f>
        <v>0</v>
      </c>
      <c r="Z15" s="42">
        <f>SUM(Z10:Z14)/(1-SUM(Configuração!$D$2,Configuração!$D$5:$D$6))*Configuração!$D$5</f>
        <v>0</v>
      </c>
      <c r="AA15" s="42">
        <f>SUM(AA10:AA14)/(1-SUM(Configuração!$D$2,Configuração!$D$5:$D$6))*Configuração!$D$5</f>
        <v>0</v>
      </c>
    </row>
    <row r="16" spans="1:45" ht="17.100000000000001" customHeight="1" x14ac:dyDescent="0.25">
      <c r="A16" s="28"/>
      <c r="B16" s="29" t="s">
        <v>21</v>
      </c>
      <c r="C16" s="30">
        <f>SUM(C11:C15)</f>
        <v>402040.62008498138</v>
      </c>
      <c r="D16" s="31">
        <f>IFERROR(C16/$C$21,0)</f>
        <v>0.11206768643258673</v>
      </c>
      <c r="E16" s="30">
        <f>SUM(E11:E15)</f>
        <v>145436.76140938106</v>
      </c>
      <c r="F16" s="30">
        <f t="shared" ref="F16:P16" si="4">SUM(F11:F15)</f>
        <v>64347.825980174806</v>
      </c>
      <c r="G16" s="30">
        <f t="shared" si="4"/>
        <v>42345.941454465246</v>
      </c>
      <c r="H16" s="30">
        <f t="shared" si="4"/>
        <v>16330.865248788748</v>
      </c>
      <c r="I16" s="30">
        <f t="shared" si="4"/>
        <v>16330.865248788748</v>
      </c>
      <c r="J16" s="30">
        <f t="shared" si="4"/>
        <v>16330.865248788748</v>
      </c>
      <c r="K16" s="30">
        <f t="shared" si="4"/>
        <v>16330.865248788748</v>
      </c>
      <c r="L16" s="30">
        <f t="shared" si="4"/>
        <v>16330.865248788748</v>
      </c>
      <c r="M16" s="30">
        <f t="shared" si="4"/>
        <v>16330.865248788748</v>
      </c>
      <c r="N16" s="30">
        <f t="shared" si="4"/>
        <v>16330.865248788748</v>
      </c>
      <c r="O16" s="30">
        <f t="shared" si="4"/>
        <v>16330.865248788748</v>
      </c>
      <c r="P16" s="30">
        <f t="shared" si="4"/>
        <v>16330.865248788748</v>
      </c>
      <c r="Q16" s="30">
        <f t="shared" ref="Q16:AA16" si="5">SUM(Q11:Q15)</f>
        <v>955.88231141675647</v>
      </c>
      <c r="R16" s="30">
        <f t="shared" si="5"/>
        <v>988.21084522232945</v>
      </c>
      <c r="S16" s="30">
        <f t="shared" si="5"/>
        <v>988.21084522232945</v>
      </c>
      <c r="T16" s="30">
        <f t="shared" si="5"/>
        <v>0</v>
      </c>
      <c r="U16" s="30">
        <f t="shared" si="5"/>
        <v>0</v>
      </c>
      <c r="V16" s="30">
        <f t="shared" si="5"/>
        <v>0</v>
      </c>
      <c r="W16" s="30">
        <f t="shared" si="5"/>
        <v>0</v>
      </c>
      <c r="X16" s="30">
        <f t="shared" si="5"/>
        <v>0</v>
      </c>
      <c r="Y16" s="30">
        <f t="shared" si="5"/>
        <v>0</v>
      </c>
      <c r="Z16" s="30">
        <f t="shared" si="5"/>
        <v>0</v>
      </c>
      <c r="AA16" s="30">
        <f t="shared" si="5"/>
        <v>0</v>
      </c>
    </row>
    <row r="17" spans="1:31" ht="17.100000000000001" customHeight="1" x14ac:dyDescent="0.25">
      <c r="A17" s="13"/>
      <c r="B17" s="8" t="s">
        <v>22</v>
      </c>
      <c r="C17" s="9">
        <f>C10+C16</f>
        <v>2869984.2595703099</v>
      </c>
      <c r="D17" s="10">
        <f>IFERROR(C17/$C$21,0)</f>
        <v>0.8</v>
      </c>
      <c r="E17" s="9">
        <f t="shared" ref="E17:P17" si="6">E10+E16</f>
        <v>566028.88084968692</v>
      </c>
      <c r="F17" s="9">
        <f t="shared" si="6"/>
        <v>867925.83268134377</v>
      </c>
      <c r="G17" s="9">
        <f t="shared" si="6"/>
        <v>515895.68026999076</v>
      </c>
      <c r="H17" s="9">
        <f t="shared" si="6"/>
        <v>99654.460979166877</v>
      </c>
      <c r="I17" s="9">
        <f t="shared" si="6"/>
        <v>99654.460979166877</v>
      </c>
      <c r="J17" s="9">
        <f t="shared" si="6"/>
        <v>99654.460979166877</v>
      </c>
      <c r="K17" s="9">
        <f t="shared" si="6"/>
        <v>99654.460979166877</v>
      </c>
      <c r="L17" s="9">
        <f t="shared" si="6"/>
        <v>99654.460979166877</v>
      </c>
      <c r="M17" s="9">
        <f t="shared" si="6"/>
        <v>99654.460979166877</v>
      </c>
      <c r="N17" s="9">
        <f t="shared" si="6"/>
        <v>99654.460979166877</v>
      </c>
      <c r="O17" s="9">
        <f t="shared" si="6"/>
        <v>99654.460979166877</v>
      </c>
      <c r="P17" s="9">
        <f t="shared" si="6"/>
        <v>99654.460979166877</v>
      </c>
      <c r="Q17" s="9">
        <f t="shared" ref="Q17:AA17" si="7">Q10+Q16</f>
        <v>7465.9505662004422</v>
      </c>
      <c r="R17" s="9">
        <f t="shared" si="7"/>
        <v>7888.8831952930359</v>
      </c>
      <c r="S17" s="9">
        <f t="shared" si="7"/>
        <v>7888.8831952930359</v>
      </c>
      <c r="T17" s="9">
        <f t="shared" si="7"/>
        <v>0</v>
      </c>
      <c r="U17" s="9">
        <f t="shared" si="7"/>
        <v>0</v>
      </c>
      <c r="V17" s="9">
        <f t="shared" si="7"/>
        <v>0</v>
      </c>
      <c r="W17" s="9">
        <f t="shared" si="7"/>
        <v>0</v>
      </c>
      <c r="X17" s="9">
        <f t="shared" si="7"/>
        <v>0</v>
      </c>
      <c r="Y17" s="9">
        <f t="shared" si="7"/>
        <v>0</v>
      </c>
      <c r="Z17" s="9">
        <f t="shared" si="7"/>
        <v>0</v>
      </c>
      <c r="AA17" s="9">
        <f t="shared" si="7"/>
        <v>0</v>
      </c>
    </row>
    <row r="18" spans="1:31" ht="17.100000000000001" customHeight="1" x14ac:dyDescent="0.25">
      <c r="A18" s="18">
        <v>7</v>
      </c>
      <c r="B18" s="19" t="s">
        <v>23</v>
      </c>
      <c r="C18" s="20">
        <f>SUM(E18:AA18)</f>
        <v>717496.06489257759</v>
      </c>
      <c r="D18" s="21">
        <f>IFERROR(C18/C21,0)</f>
        <v>0.20000000000000004</v>
      </c>
      <c r="E18" s="20">
        <f>E19+E20</f>
        <v>141507.22021242173</v>
      </c>
      <c r="F18" s="20">
        <f t="shared" ref="F18:AA18" si="8">F19+F20</f>
        <v>216981.45817033594</v>
      </c>
      <c r="G18" s="20">
        <f t="shared" si="8"/>
        <v>128973.9200674977</v>
      </c>
      <c r="H18" s="20">
        <f t="shared" si="8"/>
        <v>24913.615244791719</v>
      </c>
      <c r="I18" s="20">
        <f t="shared" si="8"/>
        <v>24913.615244791719</v>
      </c>
      <c r="J18" s="20">
        <f t="shared" si="8"/>
        <v>24913.615244791719</v>
      </c>
      <c r="K18" s="20">
        <f t="shared" si="8"/>
        <v>24913.615244791719</v>
      </c>
      <c r="L18" s="20">
        <f t="shared" si="8"/>
        <v>24913.615244791719</v>
      </c>
      <c r="M18" s="20">
        <f t="shared" si="8"/>
        <v>24913.615244791719</v>
      </c>
      <c r="N18" s="20">
        <f t="shared" si="8"/>
        <v>24913.615244791719</v>
      </c>
      <c r="O18" s="20">
        <f t="shared" si="8"/>
        <v>24913.615244791719</v>
      </c>
      <c r="P18" s="20">
        <f t="shared" si="8"/>
        <v>24913.615244791719</v>
      </c>
      <c r="Q18" s="20">
        <f t="shared" si="8"/>
        <v>1866.4876415501105</v>
      </c>
      <c r="R18" s="20">
        <f t="shared" si="8"/>
        <v>1972.220798823259</v>
      </c>
      <c r="S18" s="20">
        <f t="shared" si="8"/>
        <v>1972.220798823259</v>
      </c>
      <c r="T18" s="20">
        <f t="shared" si="8"/>
        <v>0</v>
      </c>
      <c r="U18" s="20">
        <f t="shared" si="8"/>
        <v>0</v>
      </c>
      <c r="V18" s="20">
        <f t="shared" si="8"/>
        <v>0</v>
      </c>
      <c r="W18" s="20">
        <f t="shared" si="8"/>
        <v>0</v>
      </c>
      <c r="X18" s="20">
        <f t="shared" si="8"/>
        <v>0</v>
      </c>
      <c r="Y18" s="20">
        <f t="shared" si="8"/>
        <v>0</v>
      </c>
      <c r="Z18" s="20">
        <f t="shared" si="8"/>
        <v>0</v>
      </c>
      <c r="AA18" s="20">
        <f t="shared" si="8"/>
        <v>0</v>
      </c>
    </row>
    <row r="19" spans="1:31" hidden="1" x14ac:dyDescent="0.25">
      <c r="A19" s="15" t="s">
        <v>24</v>
      </c>
      <c r="B19" s="16" t="s">
        <v>25</v>
      </c>
      <c r="C19" s="27">
        <f>SUM(E19:AA19)</f>
        <v>717496.06489257759</v>
      </c>
      <c r="D19" s="22">
        <f>IFERROR(C19/$AD$21,0)</f>
        <v>0</v>
      </c>
      <c r="E19" s="48">
        <f>(E17/(1-SUM(Configuração!$D$2,Configuração!$D$6))*Configuração!$D$2)</f>
        <v>141507.22021242173</v>
      </c>
      <c r="F19" s="48">
        <f>(F17/(1-SUM(Configuração!$D$2,Configuração!$D$6))*Configuração!$D$2)</f>
        <v>216981.45817033594</v>
      </c>
      <c r="G19" s="48">
        <f>(G17/(1-SUM(Configuração!$D$2,Configuração!$D$6))*Configuração!$D$2)</f>
        <v>128973.9200674977</v>
      </c>
      <c r="H19" s="48">
        <f>(H17/(1-SUM(Configuração!$D$2,Configuração!$D$6))*Configuração!$D$2)</f>
        <v>24913.615244791719</v>
      </c>
      <c r="I19" s="48">
        <f>(I17/(1-SUM(Configuração!$D$2,Configuração!$D$6))*Configuração!$D$2)</f>
        <v>24913.615244791719</v>
      </c>
      <c r="J19" s="48">
        <f>(J17/(1-SUM(Configuração!$D$2,Configuração!$D$6))*Configuração!$D$2)</f>
        <v>24913.615244791719</v>
      </c>
      <c r="K19" s="48">
        <f>(K17/(1-SUM(Configuração!$D$2,Configuração!$D$6))*Configuração!$D$2)</f>
        <v>24913.615244791719</v>
      </c>
      <c r="L19" s="48">
        <f>(L17/(1-SUM(Configuração!$D$2,Configuração!$D$6))*Configuração!$D$2)</f>
        <v>24913.615244791719</v>
      </c>
      <c r="M19" s="48">
        <f>(M17/(1-SUM(Configuração!$D$2,Configuração!$D$6))*Configuração!$D$2)</f>
        <v>24913.615244791719</v>
      </c>
      <c r="N19" s="48">
        <f>(N17/(1-SUM(Configuração!$D$2,Configuração!$D$6))*Configuração!$D$2)</f>
        <v>24913.615244791719</v>
      </c>
      <c r="O19" s="48">
        <f>(O17/(1-SUM(Configuração!$D$2,Configuração!$D$6))*Configuração!$D$2)</f>
        <v>24913.615244791719</v>
      </c>
      <c r="P19" s="48">
        <f>(P17/(1-SUM(Configuração!$D$2,Configuração!$D$6))*Configuração!$D$2)</f>
        <v>24913.615244791719</v>
      </c>
      <c r="Q19" s="48">
        <f>(Q17/(1-SUM(Configuração!$D$2,Configuração!$D$6))*Configuração!$D$2)</f>
        <v>1866.4876415501105</v>
      </c>
      <c r="R19" s="48">
        <f>(R17/(1-SUM(Configuração!$D$2,Configuração!$D$6))*Configuração!$D$2)</f>
        <v>1972.220798823259</v>
      </c>
      <c r="S19" s="48">
        <f>(S17/(1-SUM(Configuração!$D$2,Configuração!$D$6))*Configuração!$D$2)</f>
        <v>1972.220798823259</v>
      </c>
      <c r="T19" s="48">
        <f>(T17/(1-SUM(Configuração!$D$2,Configuração!$D$6))*Configuração!$D$2)</f>
        <v>0</v>
      </c>
      <c r="U19" s="48">
        <f>(U17/(1-SUM(Configuração!$D$2,Configuração!$D$6))*Configuração!$D$2)</f>
        <v>0</v>
      </c>
      <c r="V19" s="48">
        <f>(V17/(1-SUM(Configuração!$D$2,Configuração!$D$6))*Configuração!$D$2)</f>
        <v>0</v>
      </c>
      <c r="W19" s="48">
        <f>(W17/(1-SUM(Configuração!$D$2,Configuração!$D$6))*Configuração!$D$2)</f>
        <v>0</v>
      </c>
      <c r="X19" s="48">
        <f>(X17/(1-SUM(Configuração!$D$2,Configuração!$D$6))*Configuração!$D$2)</f>
        <v>0</v>
      </c>
      <c r="Y19" s="48">
        <f>(Y17/(1-SUM(Configuração!$D$2,Configuração!$D$6))*Configuração!$D$2)</f>
        <v>0</v>
      </c>
      <c r="Z19" s="48">
        <f>(Z17/(1-SUM(Configuração!$D$2,Configuração!$D$6))*Configuração!$D$2)</f>
        <v>0</v>
      </c>
      <c r="AA19" s="48">
        <f>(AA17/(1-SUM(Configuração!$D$2,Configuração!$D$6))*Configuração!$D$2)</f>
        <v>0</v>
      </c>
    </row>
    <row r="20" spans="1:31" s="25" customFormat="1" ht="15.75" hidden="1" x14ac:dyDescent="0.25">
      <c r="A20" s="15" t="s">
        <v>26</v>
      </c>
      <c r="B20" s="16" t="s">
        <v>27</v>
      </c>
      <c r="C20" s="27">
        <f>SUM(E20:AA20)</f>
        <v>0</v>
      </c>
      <c r="D20" s="175">
        <f>IFERROR(C20/$AD$21,0)</f>
        <v>0</v>
      </c>
      <c r="E20" s="42">
        <f>(E17/(1-SUM(Configuração!$D$2,Configuração!$D$6)))*Configuração!$D$6</f>
        <v>0</v>
      </c>
      <c r="F20" s="42">
        <f>(F17/(1-SUM(Configuração!$D$2,Configuração!$D$6)))*Configuração!$D$6</f>
        <v>0</v>
      </c>
      <c r="G20" s="42">
        <f>(G17/(1-SUM(Configuração!$D$2,Configuração!$D$6)))*Configuração!$D$6</f>
        <v>0</v>
      </c>
      <c r="H20" s="42">
        <f>(H17/(1-SUM(Configuração!$D$2,Configuração!$D$6)))*Configuração!$D$6</f>
        <v>0</v>
      </c>
      <c r="I20" s="42">
        <f>(I17/(1-SUM(Configuração!$D$2,Configuração!$D$6)))*Configuração!$D$6</f>
        <v>0</v>
      </c>
      <c r="J20" s="42">
        <f>(J17/(1-SUM(Configuração!$D$2,Configuração!$D$6)))*Configuração!$D$6</f>
        <v>0</v>
      </c>
      <c r="K20" s="42">
        <f>(K17/(1-SUM(Configuração!$D$2,Configuração!$D$6)))*Configuração!$D$6</f>
        <v>0</v>
      </c>
      <c r="L20" s="49">
        <f>(L17/(1-SUM(Configuração!$D$2,Configuração!$D$6)))*Configuração!$D$6</f>
        <v>0</v>
      </c>
      <c r="M20" s="49">
        <f>(M17/(1-SUM(Configuração!$D$2,Configuração!$D$6)))*Configuração!$D$6</f>
        <v>0</v>
      </c>
      <c r="N20" s="49">
        <f>(N17/(1-SUM(Configuração!$D$2,Configuração!$D$6)))*Configuração!$D$6</f>
        <v>0</v>
      </c>
      <c r="O20" s="49">
        <f>(O17/(1-SUM(Configuração!$D$2,Configuração!$D$6)))*Configuração!$D$6</f>
        <v>0</v>
      </c>
      <c r="P20" s="49">
        <f>(P17/(1-SUM(Configuração!$D$2,Configuração!$D$6)))*Configuração!$D$6</f>
        <v>0</v>
      </c>
      <c r="Q20" s="49">
        <f>(Q17/(1-SUM(Configuração!$D$2,Configuração!$D$6)))*Configuração!$D$6</f>
        <v>0</v>
      </c>
      <c r="R20" s="49">
        <f>(R17/(1-SUM(Configuração!$D$2,Configuração!$D$6)))*Configuração!$D$6</f>
        <v>0</v>
      </c>
      <c r="S20" s="49">
        <f>(S17/(1-SUM(Configuração!$D$2,Configuração!$D$6)))*Configuração!$D$6</f>
        <v>0</v>
      </c>
      <c r="T20" s="49">
        <f>(T17/(1-SUM(Configuração!$D$2,Configuração!$D$6)))*Configuração!$D$6</f>
        <v>0</v>
      </c>
      <c r="U20" s="49">
        <f>(U17/(1-SUM(Configuração!$D$2,Configuração!$D$6)))*Configuração!$D$6</f>
        <v>0</v>
      </c>
      <c r="V20" s="49">
        <f>(V17/(1-SUM(Configuração!$D$2,Configuração!$D$6)))*Configuração!$D$6</f>
        <v>0</v>
      </c>
      <c r="W20" s="49">
        <f>(W17/(1-SUM(Configuração!$D$2,Configuração!$D$6)))*Configuração!$D$6</f>
        <v>0</v>
      </c>
      <c r="X20" s="49">
        <f>(X17/(1-SUM(Configuração!$D$2,Configuração!$D$6)))*Configuração!$D$6</f>
        <v>0</v>
      </c>
      <c r="Y20" s="49">
        <f>(Y17/(1-SUM(Configuração!$D$2,Configuração!$D$6)))*Configuração!$D$6</f>
        <v>0</v>
      </c>
      <c r="Z20" s="49">
        <f>(Z17/(1-SUM(Configuração!$D$2,Configuração!$D$6)))*Configuração!$D$6</f>
        <v>0</v>
      </c>
      <c r="AA20" s="49">
        <f>(AA17/(1-SUM(Configuração!$D$2,Configuração!$D$6)))*Configuração!$D$6</f>
        <v>0</v>
      </c>
      <c r="AD20"/>
    </row>
    <row r="21" spans="1:31" ht="17.100000000000001" customHeight="1" x14ac:dyDescent="0.3">
      <c r="A21" s="13"/>
      <c r="B21" s="8" t="s">
        <v>28</v>
      </c>
      <c r="C21" s="174">
        <f>C17+C18</f>
        <v>3587480.3244628874</v>
      </c>
      <c r="D21" s="10">
        <f>SUM(D17:D18)</f>
        <v>1</v>
      </c>
      <c r="E21" s="9">
        <f t="shared" ref="E21:P21" si="9">E17+E18</f>
        <v>707536.10106210865</v>
      </c>
      <c r="F21" s="9">
        <f t="shared" si="9"/>
        <v>1084907.2908516796</v>
      </c>
      <c r="G21" s="9">
        <f t="shared" si="9"/>
        <v>644869.60033748846</v>
      </c>
      <c r="H21" s="9">
        <f t="shared" si="9"/>
        <v>124568.0762239586</v>
      </c>
      <c r="I21" s="9">
        <f t="shared" si="9"/>
        <v>124568.0762239586</v>
      </c>
      <c r="J21" s="9">
        <f t="shared" si="9"/>
        <v>124568.0762239586</v>
      </c>
      <c r="K21" s="9">
        <f t="shared" si="9"/>
        <v>124568.0762239586</v>
      </c>
      <c r="L21" s="9">
        <f t="shared" si="9"/>
        <v>124568.0762239586</v>
      </c>
      <c r="M21" s="9">
        <f t="shared" si="9"/>
        <v>124568.0762239586</v>
      </c>
      <c r="N21" s="9">
        <f t="shared" si="9"/>
        <v>124568.0762239586</v>
      </c>
      <c r="O21" s="9">
        <f t="shared" si="9"/>
        <v>124568.0762239586</v>
      </c>
      <c r="P21" s="9">
        <f t="shared" si="9"/>
        <v>124568.0762239586</v>
      </c>
      <c r="Q21" s="9">
        <f t="shared" ref="Q21:AA21" si="10">Q17+Q18</f>
        <v>9332.4382077505525</v>
      </c>
      <c r="R21" s="9">
        <f t="shared" si="10"/>
        <v>9861.1039941162944</v>
      </c>
      <c r="S21" s="9">
        <f t="shared" si="10"/>
        <v>9861.1039941162944</v>
      </c>
      <c r="T21" s="9">
        <f t="shared" si="10"/>
        <v>0</v>
      </c>
      <c r="U21" s="9">
        <f t="shared" si="10"/>
        <v>0</v>
      </c>
      <c r="V21" s="9">
        <f t="shared" si="10"/>
        <v>0</v>
      </c>
      <c r="W21" s="9">
        <f t="shared" si="10"/>
        <v>0</v>
      </c>
      <c r="X21" s="9">
        <f t="shared" si="10"/>
        <v>0</v>
      </c>
      <c r="Y21" s="9">
        <f t="shared" si="10"/>
        <v>0</v>
      </c>
      <c r="Z21" s="9">
        <f t="shared" si="10"/>
        <v>0</v>
      </c>
      <c r="AA21" s="9">
        <f t="shared" si="10"/>
        <v>0</v>
      </c>
      <c r="AE21">
        <v>3705346.8472357383</v>
      </c>
    </row>
    <row r="23" spans="1:31" ht="15.75" x14ac:dyDescent="0.25">
      <c r="A23" s="23"/>
      <c r="B23" s="24" t="s">
        <v>29</v>
      </c>
      <c r="C23" s="22">
        <f>IFERROR(C16/C10,0)</f>
        <v>0.16290510595648125</v>
      </c>
      <c r="E23" s="193"/>
      <c r="F23" s="26"/>
      <c r="G23" s="1"/>
      <c r="H23" s="1"/>
    </row>
    <row r="24" spans="1:31" ht="21" x14ac:dyDescent="0.35">
      <c r="A24" s="23"/>
      <c r="B24" s="24" t="s">
        <v>30</v>
      </c>
      <c r="C24" s="22">
        <f>IFERROR(C8/AD21,0)</f>
        <v>0</v>
      </c>
      <c r="D24" s="17" t="s">
        <v>598</v>
      </c>
      <c r="E24" s="260" t="s">
        <v>595</v>
      </c>
      <c r="F24" s="257">
        <f>SERVICO!N10+SERVICO!N14+SERVICO!N15</f>
        <v>1600565.3577128684</v>
      </c>
    </row>
    <row r="25" spans="1:31" ht="21" x14ac:dyDescent="0.35">
      <c r="A25" s="23"/>
      <c r="B25" s="24" t="s">
        <v>31</v>
      </c>
      <c r="C25" s="22">
        <f>Configuração!D4</f>
        <v>0.06</v>
      </c>
      <c r="E25" s="259" t="s">
        <v>596</v>
      </c>
      <c r="F25" s="258">
        <f>SERVICO!P18</f>
        <v>315833.70178713161</v>
      </c>
      <c r="G25" s="200"/>
      <c r="H25" s="198"/>
      <c r="J25" s="194"/>
      <c r="K25" s="195"/>
    </row>
    <row r="26" spans="1:31" ht="21" x14ac:dyDescent="0.35">
      <c r="A26" s="23"/>
      <c r="B26" s="24" t="s">
        <v>32</v>
      </c>
      <c r="C26" s="33">
        <f>Configuração!D3</f>
        <v>45597</v>
      </c>
      <c r="E26" s="263" t="s">
        <v>597</v>
      </c>
      <c r="F26" s="264">
        <f>SUM(F24:F25)</f>
        <v>1916399.0595</v>
      </c>
      <c r="G26" s="199"/>
      <c r="H26" s="196"/>
      <c r="I26" s="194"/>
      <c r="J26" s="1"/>
    </row>
    <row r="27" spans="1:31" x14ac:dyDescent="0.25">
      <c r="A27" s="23"/>
      <c r="B27" s="24" t="s">
        <v>33</v>
      </c>
      <c r="C27" s="32">
        <f>Configuração!D7</f>
        <v>2</v>
      </c>
      <c r="E27" s="1"/>
    </row>
    <row r="28" spans="1:31" ht="18.75" x14ac:dyDescent="0.3">
      <c r="A28" s="23"/>
      <c r="B28" s="24" t="s">
        <v>34</v>
      </c>
      <c r="C28" s="22">
        <f>Configuração!D13</f>
        <v>141</v>
      </c>
      <c r="D28"/>
      <c r="E28" s="263" t="s">
        <v>599</v>
      </c>
      <c r="F28" s="263">
        <f>C6-F25</f>
        <v>531981.53302325192</v>
      </c>
      <c r="H28" s="196"/>
    </row>
    <row r="29" spans="1:31" ht="18.75" x14ac:dyDescent="0.3">
      <c r="B29" s="24" t="s">
        <v>35</v>
      </c>
      <c r="C29" s="32">
        <f>Configuração!D9</f>
        <v>12</v>
      </c>
      <c r="D29"/>
      <c r="F29" s="1"/>
      <c r="G29" s="197"/>
      <c r="H29" s="198"/>
      <c r="J29" s="1"/>
    </row>
    <row r="30" spans="1:31" x14ac:dyDescent="0.25">
      <c r="B30" s="24" t="s">
        <v>36</v>
      </c>
      <c r="C30" s="22">
        <f>Configuração!D10</f>
        <v>0.2</v>
      </c>
      <c r="E30" s="1"/>
    </row>
    <row r="31" spans="1:31" ht="15.75" x14ac:dyDescent="0.25">
      <c r="D31" s="279">
        <v>1</v>
      </c>
      <c r="E31" s="85" t="s">
        <v>606</v>
      </c>
      <c r="F31" s="281">
        <f>C21-Q21-R21-S21</f>
        <v>3558425.6782669043</v>
      </c>
      <c r="G31">
        <v>3158389.2914994401</v>
      </c>
      <c r="H31" s="194"/>
    </row>
    <row r="32" spans="1:31" x14ac:dyDescent="0.25">
      <c r="D32" s="279">
        <v>2</v>
      </c>
      <c r="E32" s="276" t="s">
        <v>604</v>
      </c>
      <c r="F32" s="280">
        <f>Q21+R21+S21</f>
        <v>29054.646195983143</v>
      </c>
      <c r="G32">
        <v>408714.48726842564</v>
      </c>
    </row>
    <row r="33" spans="2:8" ht="15.75" x14ac:dyDescent="0.25">
      <c r="B33" s="24" t="s">
        <v>37</v>
      </c>
      <c r="C33" s="47">
        <v>0</v>
      </c>
      <c r="E33" s="277" t="s">
        <v>605</v>
      </c>
      <c r="F33" s="278">
        <f>SUM(F31:F32)</f>
        <v>3587480.3244628874</v>
      </c>
      <c r="G33">
        <v>3567103.7787678656</v>
      </c>
      <c r="H33" s="194"/>
    </row>
    <row r="34" spans="2:8" x14ac:dyDescent="0.25">
      <c r="B34" s="24" t="s">
        <v>38</v>
      </c>
      <c r="C34" s="47">
        <f>C33-AD21</f>
        <v>0</v>
      </c>
    </row>
    <row r="35" spans="2:8" x14ac:dyDescent="0.25">
      <c r="D35" s="17" t="s">
        <v>610</v>
      </c>
    </row>
    <row r="36" spans="2:8" x14ac:dyDescent="0.25">
      <c r="D36" s="17" t="s">
        <v>611</v>
      </c>
    </row>
    <row r="38" spans="2:8" x14ac:dyDescent="0.25">
      <c r="E38" s="276" t="s">
        <v>612</v>
      </c>
      <c r="F38" s="288">
        <v>1868327.057</v>
      </c>
      <c r="G38" s="289" t="s">
        <v>613</v>
      </c>
    </row>
    <row r="39" spans="2:8" x14ac:dyDescent="0.25">
      <c r="E39" s="276" t="s">
        <v>614</v>
      </c>
      <c r="F39" s="290">
        <f>F26</f>
        <v>1916399.0595</v>
      </c>
      <c r="G39" s="290">
        <f>F39-F38</f>
        <v>48072.002499999944</v>
      </c>
    </row>
  </sheetData>
  <mergeCells count="6">
    <mergeCell ref="C1:AA1"/>
    <mergeCell ref="A2:A3"/>
    <mergeCell ref="B2:B3"/>
    <mergeCell ref="C2:C3"/>
    <mergeCell ref="D2:D3"/>
    <mergeCell ref="E2:AA2"/>
  </mergeCells>
  <conditionalFormatting sqref="C23:C24">
    <cfRule type="cellIs" dxfId="25" priority="2" operator="greaterThanOrEqual">
      <formula>0.2</formula>
    </cfRule>
  </conditionalFormatting>
  <pageMargins left="0.25" right="0.25" top="0.75" bottom="0.75" header="0.3" footer="0.3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5481-EC79-40EA-A973-AA252976284E}">
  <dimension ref="A1:M19"/>
  <sheetViews>
    <sheetView showGridLines="0" workbookViewId="0">
      <selection activeCell="F25" sqref="F25"/>
    </sheetView>
  </sheetViews>
  <sheetFormatPr defaultColWidth="8.85546875" defaultRowHeight="15" x14ac:dyDescent="0.25"/>
  <cols>
    <col min="1" max="1" width="44.42578125" customWidth="1"/>
    <col min="2" max="2" width="4.42578125" customWidth="1"/>
    <col min="3" max="3" width="23.85546875" bestFit="1" customWidth="1"/>
    <col min="4" max="4" width="11.140625" customWidth="1"/>
    <col min="5" max="5" width="4.42578125" customWidth="1"/>
    <col min="6" max="6" width="29" bestFit="1" customWidth="1"/>
  </cols>
  <sheetData>
    <row r="1" spans="1:13" x14ac:dyDescent="0.25">
      <c r="A1" t="s">
        <v>39</v>
      </c>
      <c r="C1" t="s">
        <v>40</v>
      </c>
      <c r="D1" t="s">
        <v>41</v>
      </c>
      <c r="F1" t="s">
        <v>42</v>
      </c>
    </row>
    <row r="2" spans="1:13" x14ac:dyDescent="0.25">
      <c r="A2" t="s">
        <v>43</v>
      </c>
      <c r="C2" t="s">
        <v>44</v>
      </c>
      <c r="D2" s="34">
        <v>0.2</v>
      </c>
      <c r="F2" t="s">
        <v>45</v>
      </c>
    </row>
    <row r="3" spans="1:13" x14ac:dyDescent="0.25">
      <c r="A3" t="s">
        <v>46</v>
      </c>
      <c r="C3" t="s">
        <v>47</v>
      </c>
      <c r="D3" s="61">
        <v>45597</v>
      </c>
      <c r="F3" t="s">
        <v>48</v>
      </c>
    </row>
    <row r="4" spans="1:13" x14ac:dyDescent="0.25">
      <c r="A4" t="s">
        <v>49</v>
      </c>
      <c r="C4" t="s">
        <v>31</v>
      </c>
      <c r="D4" s="73">
        <v>0.06</v>
      </c>
      <c r="F4" t="s">
        <v>50</v>
      </c>
    </row>
    <row r="5" spans="1:13" x14ac:dyDescent="0.25">
      <c r="A5" t="s">
        <v>12</v>
      </c>
      <c r="C5" t="s">
        <v>51</v>
      </c>
      <c r="D5" s="34">
        <v>0.05</v>
      </c>
      <c r="F5" s="55"/>
    </row>
    <row r="6" spans="1:13" x14ac:dyDescent="0.25">
      <c r="A6" t="s">
        <v>13</v>
      </c>
      <c r="C6" t="s">
        <v>52</v>
      </c>
      <c r="D6" s="34">
        <v>0</v>
      </c>
      <c r="F6" s="55"/>
    </row>
    <row r="7" spans="1:13" x14ac:dyDescent="0.25">
      <c r="A7" t="s">
        <v>53</v>
      </c>
      <c r="C7" t="s">
        <v>54</v>
      </c>
      <c r="D7" s="41">
        <v>2</v>
      </c>
      <c r="F7" s="70" t="s">
        <v>55</v>
      </c>
      <c r="G7" s="71"/>
      <c r="H7" s="72"/>
      <c r="I7" s="72"/>
      <c r="J7" s="72"/>
      <c r="K7" s="72"/>
      <c r="L7" s="72"/>
      <c r="M7" s="72"/>
    </row>
    <row r="8" spans="1:13" x14ac:dyDescent="0.25">
      <c r="A8" t="s">
        <v>56</v>
      </c>
      <c r="C8" t="s">
        <v>57</v>
      </c>
      <c r="D8" s="41">
        <f>D7+12</f>
        <v>14</v>
      </c>
      <c r="F8" s="70"/>
      <c r="G8" s="71"/>
      <c r="H8" s="72"/>
      <c r="I8" s="72"/>
      <c r="J8" s="72"/>
      <c r="K8" s="72"/>
      <c r="L8" s="72"/>
      <c r="M8" s="72"/>
    </row>
    <row r="9" spans="1:13" x14ac:dyDescent="0.25">
      <c r="A9" t="s">
        <v>58</v>
      </c>
      <c r="C9" t="s">
        <v>59</v>
      </c>
      <c r="D9" s="41">
        <v>12</v>
      </c>
      <c r="F9" s="70"/>
      <c r="G9" s="72"/>
      <c r="H9" s="72"/>
      <c r="I9" s="72"/>
      <c r="J9" s="72"/>
      <c r="K9" s="72"/>
      <c r="L9" s="72"/>
      <c r="M9" s="72"/>
    </row>
    <row r="10" spans="1:13" x14ac:dyDescent="0.25">
      <c r="A10" t="s">
        <v>60</v>
      </c>
      <c r="C10" t="s">
        <v>36</v>
      </c>
      <c r="D10" s="34">
        <v>0.2</v>
      </c>
      <c r="F10" s="55"/>
    </row>
    <row r="11" spans="1:13" x14ac:dyDescent="0.25">
      <c r="C11" t="s">
        <v>61</v>
      </c>
      <c r="D11" s="62">
        <v>350</v>
      </c>
      <c r="F11" s="55"/>
    </row>
    <row r="12" spans="1:13" x14ac:dyDescent="0.25">
      <c r="C12" t="s">
        <v>62</v>
      </c>
      <c r="D12" s="63">
        <v>0</v>
      </c>
      <c r="F12" s="56"/>
    </row>
    <row r="13" spans="1:13" x14ac:dyDescent="0.25">
      <c r="C13" t="s">
        <v>63</v>
      </c>
      <c r="D13" s="64">
        <v>141</v>
      </c>
      <c r="F13" s="57"/>
    </row>
    <row r="14" spans="1:13" x14ac:dyDescent="0.25">
      <c r="C14" t="s">
        <v>64</v>
      </c>
      <c r="D14" s="34">
        <v>1</v>
      </c>
      <c r="F14" s="56"/>
    </row>
    <row r="15" spans="1:13" x14ac:dyDescent="0.25">
      <c r="C15" t="s">
        <v>65</v>
      </c>
      <c r="D15" s="34">
        <v>1</v>
      </c>
      <c r="F15" s="56"/>
    </row>
    <row r="16" spans="1:13" x14ac:dyDescent="0.25">
      <c r="F16" s="56"/>
    </row>
    <row r="17" spans="4:6" x14ac:dyDescent="0.25">
      <c r="F17" s="55"/>
    </row>
    <row r="19" spans="4:6" x14ac:dyDescent="0.25">
      <c r="D19" t="s">
        <v>66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EB2B-1433-434D-8C08-416474023524}">
  <dimension ref="A1:F295"/>
  <sheetViews>
    <sheetView showGridLines="0" workbookViewId="0">
      <pane xSplit="1" ySplit="1" topLeftCell="B65" activePane="bottomRight" state="frozen"/>
      <selection activeCell="F25" sqref="F25"/>
      <selection pane="topRight" activeCell="F25" sqref="F25"/>
      <selection pane="bottomLeft" activeCell="F25" sqref="F25"/>
      <selection pane="bottomRight" activeCell="F25" sqref="F25"/>
    </sheetView>
  </sheetViews>
  <sheetFormatPr defaultColWidth="8.85546875" defaultRowHeight="15" x14ac:dyDescent="0.25"/>
  <cols>
    <col min="1" max="1" width="56" style="67" bestFit="1" customWidth="1"/>
    <col min="2" max="2" width="45.7109375" style="69" bestFit="1" customWidth="1"/>
    <col min="3" max="3" width="15" style="75" bestFit="1" customWidth="1"/>
    <col min="4" max="4" width="17.28515625" style="67" bestFit="1" customWidth="1"/>
    <col min="5" max="5" width="14.85546875" style="67" bestFit="1" customWidth="1"/>
    <col min="6" max="16384" width="8.85546875" style="67"/>
  </cols>
  <sheetData>
    <row r="1" spans="1:5" x14ac:dyDescent="0.25">
      <c r="A1" s="66" t="s">
        <v>67</v>
      </c>
      <c r="B1" s="66" t="s">
        <v>68</v>
      </c>
      <c r="C1" s="74" t="s">
        <v>69</v>
      </c>
      <c r="D1" s="66" t="s">
        <v>70</v>
      </c>
      <c r="E1" s="66" t="s">
        <v>71</v>
      </c>
    </row>
    <row r="2" spans="1:5" x14ac:dyDescent="0.25">
      <c r="A2" s="68" t="s">
        <v>72</v>
      </c>
      <c r="B2" s="69" t="s">
        <v>73</v>
      </c>
      <c r="C2" s="76">
        <v>9501.0400000000009</v>
      </c>
      <c r="E2" s="77">
        <v>0</v>
      </c>
    </row>
    <row r="3" spans="1:5" x14ac:dyDescent="0.25">
      <c r="A3" s="67" t="s">
        <v>74</v>
      </c>
      <c r="B3" s="69" t="s">
        <v>75</v>
      </c>
      <c r="C3" s="76">
        <v>15824.929608002489</v>
      </c>
      <c r="E3" s="77">
        <v>0</v>
      </c>
    </row>
    <row r="4" spans="1:5" x14ac:dyDescent="0.25">
      <c r="A4" s="67" t="s">
        <v>76</v>
      </c>
      <c r="B4" s="69" t="s">
        <v>77</v>
      </c>
      <c r="C4" s="76">
        <v>12370.07</v>
      </c>
      <c r="E4" s="77">
        <v>0</v>
      </c>
    </row>
    <row r="5" spans="1:5" x14ac:dyDescent="0.25">
      <c r="A5" s="67" t="s">
        <v>78</v>
      </c>
      <c r="B5" s="69" t="s">
        <v>79</v>
      </c>
      <c r="C5" s="76">
        <v>13727.744443022222</v>
      </c>
      <c r="E5" s="77">
        <v>0</v>
      </c>
    </row>
    <row r="6" spans="1:5" x14ac:dyDescent="0.25">
      <c r="A6" s="67" t="s">
        <v>80</v>
      </c>
      <c r="B6" s="69" t="s">
        <v>81</v>
      </c>
      <c r="C6" s="76">
        <v>14848.800417066665</v>
      </c>
      <c r="E6" s="77">
        <v>0</v>
      </c>
    </row>
    <row r="7" spans="1:5" x14ac:dyDescent="0.25">
      <c r="A7" s="68" t="s">
        <v>82</v>
      </c>
      <c r="B7" s="69" t="s">
        <v>83</v>
      </c>
      <c r="C7" s="76">
        <v>9961.14</v>
      </c>
      <c r="E7" s="77">
        <v>0</v>
      </c>
    </row>
    <row r="8" spans="1:5" x14ac:dyDescent="0.25">
      <c r="A8" s="67" t="s">
        <v>84</v>
      </c>
      <c r="B8" s="69" t="s">
        <v>85</v>
      </c>
      <c r="C8" s="76">
        <v>11370.220377777778</v>
      </c>
      <c r="E8" s="77">
        <v>0</v>
      </c>
    </row>
    <row r="9" spans="1:5" x14ac:dyDescent="0.25">
      <c r="A9" s="67" t="s">
        <v>86</v>
      </c>
      <c r="B9" s="69" t="s">
        <v>87</v>
      </c>
      <c r="C9" s="76">
        <v>23616.880000000001</v>
      </c>
      <c r="E9" s="77">
        <v>0</v>
      </c>
    </row>
    <row r="10" spans="1:5" x14ac:dyDescent="0.25">
      <c r="A10" s="67" t="s">
        <v>88</v>
      </c>
      <c r="B10" s="69" t="s">
        <v>89</v>
      </c>
      <c r="C10" s="76">
        <v>17213.230764444445</v>
      </c>
      <c r="E10" s="77">
        <v>0</v>
      </c>
    </row>
    <row r="11" spans="1:5" x14ac:dyDescent="0.25">
      <c r="A11" s="68" t="s">
        <v>90</v>
      </c>
      <c r="B11" s="69" t="s">
        <v>91</v>
      </c>
      <c r="C11" s="76">
        <v>26782.326666666671</v>
      </c>
      <c r="E11" s="77">
        <v>0</v>
      </c>
    </row>
    <row r="12" spans="1:5" x14ac:dyDescent="0.25">
      <c r="A12" s="68" t="s">
        <v>92</v>
      </c>
      <c r="B12" s="69" t="s">
        <v>93</v>
      </c>
      <c r="C12" s="76">
        <v>10468.719999999999</v>
      </c>
      <c r="E12" s="77">
        <v>0</v>
      </c>
    </row>
    <row r="13" spans="1:5" x14ac:dyDescent="0.25">
      <c r="A13" s="68" t="s">
        <v>94</v>
      </c>
      <c r="B13" s="69" t="s">
        <v>95</v>
      </c>
      <c r="C13" s="76">
        <v>21099.33</v>
      </c>
      <c r="E13" s="77">
        <v>0</v>
      </c>
    </row>
    <row r="14" spans="1:5" x14ac:dyDescent="0.25">
      <c r="A14" s="67" t="s">
        <v>96</v>
      </c>
      <c r="B14" s="69" t="s">
        <v>97</v>
      </c>
      <c r="C14" s="76">
        <v>11693.23</v>
      </c>
      <c r="E14" s="77">
        <v>0</v>
      </c>
    </row>
    <row r="15" spans="1:5" x14ac:dyDescent="0.25">
      <c r="A15" s="67" t="s">
        <v>98</v>
      </c>
      <c r="B15" s="69" t="s">
        <v>99</v>
      </c>
      <c r="C15" s="76">
        <v>7599.08</v>
      </c>
      <c r="E15" s="77">
        <v>0</v>
      </c>
    </row>
    <row r="16" spans="1:5" x14ac:dyDescent="0.25">
      <c r="A16" s="68" t="s">
        <v>100</v>
      </c>
      <c r="B16" s="69" t="s">
        <v>101</v>
      </c>
      <c r="C16" s="76">
        <v>9759.7000000000007</v>
      </c>
      <c r="E16" s="77">
        <v>0</v>
      </c>
    </row>
    <row r="17" spans="1:5" x14ac:dyDescent="0.25">
      <c r="A17" s="67" t="s">
        <v>102</v>
      </c>
      <c r="B17" s="69" t="s">
        <v>103</v>
      </c>
      <c r="C17" s="76">
        <v>13160.725595559288</v>
      </c>
      <c r="E17" s="77">
        <v>0</v>
      </c>
    </row>
    <row r="18" spans="1:5" x14ac:dyDescent="0.25">
      <c r="A18" s="67" t="s">
        <v>104</v>
      </c>
      <c r="B18" s="69" t="s">
        <v>105</v>
      </c>
      <c r="C18" s="76">
        <v>9526.5987555555566</v>
      </c>
      <c r="E18" s="77">
        <v>0</v>
      </c>
    </row>
    <row r="19" spans="1:5" x14ac:dyDescent="0.25">
      <c r="A19" s="67" t="s">
        <v>106</v>
      </c>
      <c r="B19" s="69" t="s">
        <v>107</v>
      </c>
      <c r="C19" s="76">
        <v>11186.66</v>
      </c>
      <c r="E19" s="77">
        <v>0</v>
      </c>
    </row>
    <row r="20" spans="1:5" x14ac:dyDescent="0.25">
      <c r="A20" s="67" t="s">
        <v>108</v>
      </c>
      <c r="B20" s="69" t="s">
        <v>109</v>
      </c>
      <c r="C20" s="76">
        <v>11297.84</v>
      </c>
      <c r="E20" s="77">
        <v>0</v>
      </c>
    </row>
    <row r="21" spans="1:5" x14ac:dyDescent="0.25">
      <c r="A21" s="67" t="s">
        <v>110</v>
      </c>
      <c r="B21" s="69" t="s">
        <v>111</v>
      </c>
      <c r="C21" s="76">
        <v>11454.51</v>
      </c>
      <c r="E21" s="77">
        <v>0</v>
      </c>
    </row>
    <row r="22" spans="1:5" x14ac:dyDescent="0.25">
      <c r="A22" s="67" t="s">
        <v>112</v>
      </c>
      <c r="B22" s="69" t="s">
        <v>113</v>
      </c>
      <c r="C22" s="76">
        <v>13117.41</v>
      </c>
      <c r="E22" s="77">
        <v>0</v>
      </c>
    </row>
    <row r="23" spans="1:5" x14ac:dyDescent="0.25">
      <c r="A23" s="67" t="s">
        <v>114</v>
      </c>
      <c r="B23" s="69" t="s">
        <v>115</v>
      </c>
      <c r="C23" s="76">
        <v>14150.97</v>
      </c>
      <c r="E23" s="77">
        <v>0</v>
      </c>
    </row>
    <row r="24" spans="1:5" x14ac:dyDescent="0.25">
      <c r="A24" s="67" t="s">
        <v>116</v>
      </c>
      <c r="B24" s="69" t="s">
        <v>117</v>
      </c>
      <c r="C24" s="76">
        <v>10086.874112671288</v>
      </c>
      <c r="E24" s="77">
        <v>0</v>
      </c>
    </row>
    <row r="25" spans="1:5" x14ac:dyDescent="0.25">
      <c r="A25" s="67" t="s">
        <v>118</v>
      </c>
      <c r="B25" s="69" t="s">
        <v>119</v>
      </c>
      <c r="C25" s="76">
        <v>19092.245604444448</v>
      </c>
      <c r="E25" s="77">
        <v>0</v>
      </c>
    </row>
    <row r="26" spans="1:5" x14ac:dyDescent="0.25">
      <c r="A26" s="67" t="s">
        <v>120</v>
      </c>
      <c r="B26" s="69" t="s">
        <v>121</v>
      </c>
      <c r="C26" s="76">
        <v>15970.663021333334</v>
      </c>
      <c r="E26" s="77">
        <v>0</v>
      </c>
    </row>
    <row r="27" spans="1:5" x14ac:dyDescent="0.25">
      <c r="A27" s="67" t="s">
        <v>122</v>
      </c>
      <c r="B27" s="69" t="s">
        <v>123</v>
      </c>
      <c r="C27" s="76">
        <v>16109.15</v>
      </c>
      <c r="E27" s="77">
        <v>0</v>
      </c>
    </row>
    <row r="28" spans="1:5" x14ac:dyDescent="0.25">
      <c r="A28" s="67" t="s">
        <v>124</v>
      </c>
      <c r="B28" s="69" t="s">
        <v>125</v>
      </c>
      <c r="C28" s="76">
        <v>11540.52</v>
      </c>
      <c r="E28" s="77">
        <v>0</v>
      </c>
    </row>
    <row r="29" spans="1:5" x14ac:dyDescent="0.25">
      <c r="A29" s="67" t="s">
        <v>126</v>
      </c>
      <c r="B29" s="69" t="s">
        <v>127</v>
      </c>
      <c r="C29" s="76">
        <v>6950.1900000000005</v>
      </c>
      <c r="E29" s="77">
        <v>0</v>
      </c>
    </row>
    <row r="30" spans="1:5" x14ac:dyDescent="0.25">
      <c r="A30" s="68" t="s">
        <v>128</v>
      </c>
      <c r="B30" s="69" t="s">
        <v>129</v>
      </c>
      <c r="C30" s="76">
        <v>7220.69</v>
      </c>
      <c r="E30" s="77">
        <v>0</v>
      </c>
    </row>
    <row r="31" spans="1:5" x14ac:dyDescent="0.25">
      <c r="A31" s="67" t="s">
        <v>130</v>
      </c>
      <c r="B31" s="69" t="s">
        <v>131</v>
      </c>
      <c r="C31" s="76">
        <v>7027.5050000000001</v>
      </c>
      <c r="E31" s="77">
        <v>0</v>
      </c>
    </row>
    <row r="32" spans="1:5" x14ac:dyDescent="0.25">
      <c r="A32" s="67" t="s">
        <v>132</v>
      </c>
      <c r="B32" s="69" t="s">
        <v>133</v>
      </c>
      <c r="C32" s="76">
        <v>7745.2566666666671</v>
      </c>
      <c r="E32" s="77">
        <v>0</v>
      </c>
    </row>
    <row r="33" spans="1:5" x14ac:dyDescent="0.25">
      <c r="A33" s="67" t="s">
        <v>134</v>
      </c>
      <c r="B33" s="69" t="s">
        <v>135</v>
      </c>
      <c r="C33" s="76">
        <v>8751</v>
      </c>
      <c r="E33" s="77">
        <v>0</v>
      </c>
    </row>
    <row r="34" spans="1:5" x14ac:dyDescent="0.25">
      <c r="A34" s="67" t="s">
        <v>136</v>
      </c>
      <c r="B34" s="69" t="s">
        <v>137</v>
      </c>
      <c r="C34" s="76">
        <v>7717.56</v>
      </c>
      <c r="E34" s="77">
        <v>0</v>
      </c>
    </row>
    <row r="35" spans="1:5" x14ac:dyDescent="0.25">
      <c r="A35" s="68" t="s">
        <v>138</v>
      </c>
      <c r="B35" s="69" t="s">
        <v>139</v>
      </c>
      <c r="C35" s="76">
        <v>16025.09</v>
      </c>
      <c r="E35" s="77">
        <v>0</v>
      </c>
    </row>
    <row r="36" spans="1:5" x14ac:dyDescent="0.25">
      <c r="A36" s="67" t="s">
        <v>140</v>
      </c>
      <c r="B36" s="69" t="s">
        <v>141</v>
      </c>
      <c r="C36" s="76">
        <v>25147.23</v>
      </c>
      <c r="E36" s="77">
        <v>0</v>
      </c>
    </row>
    <row r="37" spans="1:5" x14ac:dyDescent="0.25">
      <c r="A37" s="67" t="s">
        <v>142</v>
      </c>
      <c r="B37" s="69" t="s">
        <v>143</v>
      </c>
      <c r="C37" s="76">
        <v>21658.62</v>
      </c>
      <c r="E37" s="77">
        <v>0</v>
      </c>
    </row>
    <row r="38" spans="1:5" x14ac:dyDescent="0.25">
      <c r="A38" s="68" t="s">
        <v>144</v>
      </c>
      <c r="B38" s="69" t="s">
        <v>145</v>
      </c>
      <c r="C38" s="76">
        <v>30271.553066134267</v>
      </c>
      <c r="E38" s="77">
        <v>0</v>
      </c>
    </row>
    <row r="39" spans="1:5" x14ac:dyDescent="0.25">
      <c r="A39" s="68" t="s">
        <v>146</v>
      </c>
      <c r="B39" s="69" t="s">
        <v>147</v>
      </c>
      <c r="C39" s="76">
        <v>26650.799999999999</v>
      </c>
      <c r="E39" s="77">
        <v>0</v>
      </c>
    </row>
    <row r="40" spans="1:5" x14ac:dyDescent="0.25">
      <c r="A40" s="67" t="s">
        <v>148</v>
      </c>
      <c r="B40" s="69" t="s">
        <v>149</v>
      </c>
      <c r="C40" s="76">
        <v>7935.71</v>
      </c>
      <c r="E40" s="77">
        <v>0</v>
      </c>
    </row>
    <row r="41" spans="1:5" x14ac:dyDescent="0.25">
      <c r="A41" s="68" t="s">
        <v>150</v>
      </c>
      <c r="B41" s="69" t="s">
        <v>151</v>
      </c>
      <c r="C41" s="76">
        <v>16838.825000000001</v>
      </c>
      <c r="E41" s="77">
        <v>0</v>
      </c>
    </row>
    <row r="42" spans="1:5" x14ac:dyDescent="0.25">
      <c r="A42" s="67" t="s">
        <v>152</v>
      </c>
      <c r="B42" s="69" t="s">
        <v>153</v>
      </c>
      <c r="C42" s="76">
        <v>11827.805194619956</v>
      </c>
      <c r="E42" s="77">
        <v>0</v>
      </c>
    </row>
    <row r="43" spans="1:5" x14ac:dyDescent="0.25">
      <c r="A43" s="67" t="s">
        <v>154</v>
      </c>
      <c r="B43" s="69" t="s">
        <v>155</v>
      </c>
      <c r="C43" s="76">
        <v>13191.44882432474</v>
      </c>
      <c r="E43" s="77">
        <v>0</v>
      </c>
    </row>
    <row r="44" spans="1:5" x14ac:dyDescent="0.25">
      <c r="A44" s="68" t="s">
        <v>156</v>
      </c>
      <c r="B44" s="69" t="s">
        <v>157</v>
      </c>
      <c r="C44" s="76">
        <v>30305.794999999998</v>
      </c>
      <c r="E44" s="77">
        <v>0</v>
      </c>
    </row>
    <row r="45" spans="1:5" x14ac:dyDescent="0.25">
      <c r="A45" s="67" t="s">
        <v>158</v>
      </c>
      <c r="B45" s="69" t="s">
        <v>159</v>
      </c>
      <c r="C45" s="76">
        <v>12381.410711111112</v>
      </c>
      <c r="E45" s="77">
        <v>0</v>
      </c>
    </row>
    <row r="46" spans="1:5" x14ac:dyDescent="0.25">
      <c r="A46" s="67" t="s">
        <v>160</v>
      </c>
      <c r="B46" s="69" t="s">
        <v>161</v>
      </c>
      <c r="C46" s="76">
        <v>13426.438368675555</v>
      </c>
      <c r="E46" s="77">
        <v>0</v>
      </c>
    </row>
    <row r="47" spans="1:5" x14ac:dyDescent="0.25">
      <c r="A47" s="68" t="s">
        <v>162</v>
      </c>
      <c r="B47" s="69" t="s">
        <v>163</v>
      </c>
      <c r="C47" s="76">
        <v>33588.910000000003</v>
      </c>
      <c r="E47" s="77">
        <v>0</v>
      </c>
    </row>
    <row r="48" spans="1:5" x14ac:dyDescent="0.25">
      <c r="A48" s="67" t="s">
        <v>164</v>
      </c>
      <c r="B48" s="69" t="s">
        <v>165</v>
      </c>
      <c r="C48" s="76">
        <v>16546.638265066671</v>
      </c>
      <c r="E48" s="77">
        <v>0</v>
      </c>
    </row>
    <row r="49" spans="1:5" x14ac:dyDescent="0.25">
      <c r="A49" s="68" t="s">
        <v>166</v>
      </c>
      <c r="B49" s="69" t="s">
        <v>167</v>
      </c>
      <c r="C49" s="76">
        <v>25256.438999999998</v>
      </c>
      <c r="E49" s="77">
        <v>0</v>
      </c>
    </row>
    <row r="50" spans="1:5" x14ac:dyDescent="0.25">
      <c r="A50" s="68" t="s">
        <v>168</v>
      </c>
      <c r="B50" s="69" t="s">
        <v>169</v>
      </c>
      <c r="C50" s="76">
        <v>15250.804782222223</v>
      </c>
      <c r="E50" s="77">
        <v>0</v>
      </c>
    </row>
    <row r="51" spans="1:5" x14ac:dyDescent="0.25">
      <c r="A51" s="67" t="s">
        <v>170</v>
      </c>
      <c r="B51" s="69" t="s">
        <v>171</v>
      </c>
      <c r="C51" s="76">
        <v>12032.396666666667</v>
      </c>
      <c r="E51" s="77">
        <v>0</v>
      </c>
    </row>
    <row r="52" spans="1:5" x14ac:dyDescent="0.25">
      <c r="A52" s="67" t="s">
        <v>172</v>
      </c>
      <c r="B52" s="69" t="s">
        <v>173</v>
      </c>
      <c r="C52" s="76">
        <v>16185.445714360889</v>
      </c>
      <c r="E52" s="77">
        <v>0</v>
      </c>
    </row>
    <row r="53" spans="1:5" x14ac:dyDescent="0.25">
      <c r="A53" s="67" t="s">
        <v>174</v>
      </c>
      <c r="B53" s="69" t="s">
        <v>175</v>
      </c>
      <c r="C53" s="76">
        <v>29598.073333333334</v>
      </c>
      <c r="E53" s="77">
        <v>0</v>
      </c>
    </row>
    <row r="54" spans="1:5" x14ac:dyDescent="0.25">
      <c r="A54" s="67" t="s">
        <v>176</v>
      </c>
      <c r="B54" s="69" t="s">
        <v>177</v>
      </c>
      <c r="C54" s="76">
        <v>11648.499096296297</v>
      </c>
      <c r="E54" s="77">
        <v>0</v>
      </c>
    </row>
    <row r="55" spans="1:5" x14ac:dyDescent="0.25">
      <c r="A55" s="68" t="s">
        <v>178</v>
      </c>
      <c r="B55" s="69" t="s">
        <v>179</v>
      </c>
      <c r="C55" s="76">
        <v>15346.679111111111</v>
      </c>
      <c r="E55" s="77">
        <v>0</v>
      </c>
    </row>
    <row r="56" spans="1:5" x14ac:dyDescent="0.25">
      <c r="A56" s="67" t="s">
        <v>180</v>
      </c>
      <c r="B56" s="69" t="s">
        <v>181</v>
      </c>
      <c r="C56" s="76">
        <v>9158.02</v>
      </c>
      <c r="E56" s="77">
        <v>0</v>
      </c>
    </row>
    <row r="57" spans="1:5" x14ac:dyDescent="0.25">
      <c r="A57" s="67" t="s">
        <v>182</v>
      </c>
      <c r="B57" s="69" t="s">
        <v>183</v>
      </c>
      <c r="C57" s="76">
        <v>17079.38</v>
      </c>
      <c r="E57" s="77">
        <v>0</v>
      </c>
    </row>
    <row r="58" spans="1:5" x14ac:dyDescent="0.25">
      <c r="A58" s="67" t="s">
        <v>184</v>
      </c>
      <c r="B58" s="69" t="s">
        <v>185</v>
      </c>
      <c r="C58" s="76">
        <v>21254.66</v>
      </c>
      <c r="E58" s="77">
        <v>0</v>
      </c>
    </row>
    <row r="59" spans="1:5" x14ac:dyDescent="0.25">
      <c r="A59" s="67" t="s">
        <v>186</v>
      </c>
      <c r="B59" s="69" t="s">
        <v>187</v>
      </c>
      <c r="C59" s="76">
        <v>29385.13</v>
      </c>
      <c r="E59" s="77">
        <v>0</v>
      </c>
    </row>
    <row r="60" spans="1:5" x14ac:dyDescent="0.25">
      <c r="A60" s="67" t="s">
        <v>188</v>
      </c>
      <c r="B60" s="69" t="s">
        <v>189</v>
      </c>
      <c r="C60" s="76">
        <v>33335.046666666669</v>
      </c>
      <c r="E60" s="77">
        <v>0</v>
      </c>
    </row>
    <row r="61" spans="1:5" x14ac:dyDescent="0.25">
      <c r="A61" s="67" t="s">
        <v>190</v>
      </c>
      <c r="B61" s="69" t="s">
        <v>191</v>
      </c>
      <c r="C61" s="76">
        <v>29691.29</v>
      </c>
      <c r="E61" s="77">
        <v>0</v>
      </c>
    </row>
    <row r="62" spans="1:5" x14ac:dyDescent="0.25">
      <c r="A62" s="68" t="s">
        <v>192</v>
      </c>
      <c r="B62" s="69" t="s">
        <v>193</v>
      </c>
      <c r="C62" s="76">
        <v>33752.04</v>
      </c>
      <c r="E62" s="77">
        <v>0</v>
      </c>
    </row>
    <row r="63" spans="1:5" x14ac:dyDescent="0.25">
      <c r="A63" s="67" t="s">
        <v>194</v>
      </c>
      <c r="B63" s="69" t="s">
        <v>195</v>
      </c>
      <c r="C63" s="76">
        <v>21144.544999999998</v>
      </c>
      <c r="E63" s="77">
        <v>0</v>
      </c>
    </row>
    <row r="64" spans="1:5" x14ac:dyDescent="0.25">
      <c r="A64" s="68" t="s">
        <v>196</v>
      </c>
      <c r="B64" s="69" t="s">
        <v>197</v>
      </c>
      <c r="C64" s="76">
        <v>18824.938512533332</v>
      </c>
      <c r="E64" s="77">
        <v>0</v>
      </c>
    </row>
    <row r="65" spans="1:5" x14ac:dyDescent="0.25">
      <c r="A65" s="68" t="s">
        <v>198</v>
      </c>
      <c r="B65" s="69" t="s">
        <v>199</v>
      </c>
      <c r="C65" s="76">
        <v>21254.66</v>
      </c>
      <c r="E65" s="77">
        <v>0</v>
      </c>
    </row>
    <row r="66" spans="1:5" x14ac:dyDescent="0.25">
      <c r="A66" s="67" t="s">
        <v>200</v>
      </c>
      <c r="B66" s="69" t="s">
        <v>201</v>
      </c>
      <c r="C66" s="76">
        <v>17873.96</v>
      </c>
      <c r="E66" s="77">
        <v>0</v>
      </c>
    </row>
    <row r="67" spans="1:5" x14ac:dyDescent="0.25">
      <c r="A67" s="67" t="s">
        <v>202</v>
      </c>
      <c r="B67" s="69" t="s">
        <v>203</v>
      </c>
      <c r="C67" s="76">
        <v>17489.740000000002</v>
      </c>
      <c r="E67" s="77">
        <v>0</v>
      </c>
    </row>
    <row r="68" spans="1:5" x14ac:dyDescent="0.25">
      <c r="A68" s="68" t="s">
        <v>204</v>
      </c>
      <c r="B68" s="69" t="s">
        <v>205</v>
      </c>
      <c r="C68" s="76">
        <v>21254.66</v>
      </c>
      <c r="E68" s="77">
        <v>0</v>
      </c>
    </row>
    <row r="69" spans="1:5" x14ac:dyDescent="0.25">
      <c r="A69" s="68" t="s">
        <v>206</v>
      </c>
      <c r="B69" s="69" t="s">
        <v>207</v>
      </c>
      <c r="C69" s="76">
        <v>18527.879999999997</v>
      </c>
      <c r="E69" s="77">
        <v>0</v>
      </c>
    </row>
    <row r="70" spans="1:5" x14ac:dyDescent="0.25">
      <c r="A70" s="67" t="s">
        <v>208</v>
      </c>
      <c r="B70" s="69" t="s">
        <v>209</v>
      </c>
      <c r="C70" s="76">
        <v>4248.8009465142868</v>
      </c>
      <c r="E70" s="77">
        <v>0</v>
      </c>
    </row>
    <row r="71" spans="1:5" x14ac:dyDescent="0.25">
      <c r="A71" s="67" t="s">
        <v>210</v>
      </c>
      <c r="B71" s="69" t="s">
        <v>211</v>
      </c>
      <c r="C71" s="76">
        <v>4320.2110745119999</v>
      </c>
      <c r="E71" s="77">
        <v>0</v>
      </c>
    </row>
    <row r="72" spans="1:5" x14ac:dyDescent="0.25">
      <c r="A72" s="68" t="s">
        <v>212</v>
      </c>
      <c r="B72" s="69" t="s">
        <v>213</v>
      </c>
      <c r="C72" s="76">
        <v>5168.2749999999996</v>
      </c>
      <c r="E72" s="77">
        <v>0</v>
      </c>
    </row>
    <row r="73" spans="1:5" x14ac:dyDescent="0.25">
      <c r="A73" s="67" t="s">
        <v>214</v>
      </c>
      <c r="B73" s="69" t="s">
        <v>215</v>
      </c>
      <c r="C73" s="76">
        <v>10584.703365927171</v>
      </c>
      <c r="E73" s="77">
        <v>0</v>
      </c>
    </row>
    <row r="74" spans="1:5" x14ac:dyDescent="0.25">
      <c r="A74" s="67" t="s">
        <v>216</v>
      </c>
      <c r="B74" s="69" t="s">
        <v>217</v>
      </c>
      <c r="C74" s="76">
        <v>32366.04</v>
      </c>
      <c r="E74" s="77">
        <v>0</v>
      </c>
    </row>
    <row r="75" spans="1:5" x14ac:dyDescent="0.25">
      <c r="A75" s="68" t="s">
        <v>218</v>
      </c>
      <c r="B75" s="69" t="s">
        <v>219</v>
      </c>
      <c r="C75" s="76">
        <v>36809.64</v>
      </c>
      <c r="E75" s="77">
        <v>0</v>
      </c>
    </row>
    <row r="76" spans="1:5" x14ac:dyDescent="0.25">
      <c r="A76" s="67" t="s">
        <v>220</v>
      </c>
      <c r="B76" s="69" t="s">
        <v>221</v>
      </c>
      <c r="C76" s="76">
        <v>36380.15</v>
      </c>
      <c r="E76" s="77">
        <v>0</v>
      </c>
    </row>
    <row r="77" spans="1:5" x14ac:dyDescent="0.25">
      <c r="A77" s="67" t="s">
        <v>222</v>
      </c>
      <c r="B77" s="69" t="s">
        <v>223</v>
      </c>
      <c r="C77" s="76">
        <v>12855.19</v>
      </c>
      <c r="E77" s="77">
        <v>0</v>
      </c>
    </row>
    <row r="78" spans="1:5" x14ac:dyDescent="0.25">
      <c r="A78" s="68" t="s">
        <v>224</v>
      </c>
      <c r="B78" s="69" t="s">
        <v>225</v>
      </c>
      <c r="C78" s="76">
        <v>44467.399751288889</v>
      </c>
      <c r="E78" s="77">
        <v>0</v>
      </c>
    </row>
    <row r="79" spans="1:5" x14ac:dyDescent="0.25">
      <c r="A79" s="67" t="s">
        <v>226</v>
      </c>
      <c r="B79" s="69" t="s">
        <v>227</v>
      </c>
      <c r="C79" s="76">
        <v>37561.800000000003</v>
      </c>
      <c r="E79" s="77">
        <v>0</v>
      </c>
    </row>
    <row r="80" spans="1:5" x14ac:dyDescent="0.25">
      <c r="A80" s="67" t="s">
        <v>228</v>
      </c>
      <c r="B80" s="69" t="s">
        <v>229</v>
      </c>
      <c r="C80" s="76">
        <v>40345.15</v>
      </c>
      <c r="E80" s="77">
        <v>0</v>
      </c>
    </row>
    <row r="81" spans="1:6" x14ac:dyDescent="0.25">
      <c r="A81" s="67" t="s">
        <v>230</v>
      </c>
      <c r="B81" s="69" t="s">
        <v>231</v>
      </c>
      <c r="C81" s="76">
        <v>22990.665000000001</v>
      </c>
      <c r="E81" s="77">
        <v>0</v>
      </c>
    </row>
    <row r="82" spans="1:6" x14ac:dyDescent="0.25">
      <c r="A82" s="67" t="s">
        <v>232</v>
      </c>
      <c r="B82" s="69" t="s">
        <v>233</v>
      </c>
      <c r="C82" s="76">
        <v>23465.702474282665</v>
      </c>
      <c r="E82" s="77">
        <v>0</v>
      </c>
    </row>
    <row r="83" spans="1:6" x14ac:dyDescent="0.25">
      <c r="A83" s="67" t="s">
        <v>234</v>
      </c>
      <c r="B83" s="69" t="s">
        <v>235</v>
      </c>
      <c r="C83" s="76">
        <v>12124.264999999999</v>
      </c>
      <c r="E83" s="77">
        <v>0</v>
      </c>
    </row>
    <row r="84" spans="1:6" x14ac:dyDescent="0.25">
      <c r="A84" s="67" t="s">
        <v>236</v>
      </c>
      <c r="B84" s="69" t="s">
        <v>237</v>
      </c>
      <c r="C84" s="76">
        <v>17404.62</v>
      </c>
      <c r="E84" s="77">
        <v>0</v>
      </c>
    </row>
    <row r="85" spans="1:6" x14ac:dyDescent="0.25">
      <c r="A85" s="68" t="s">
        <v>238</v>
      </c>
      <c r="B85" s="69" t="s">
        <v>239</v>
      </c>
      <c r="C85" s="76">
        <v>40163.01</v>
      </c>
      <c r="E85" s="77">
        <v>0</v>
      </c>
    </row>
    <row r="86" spans="1:6" x14ac:dyDescent="0.25">
      <c r="A86" s="67" t="s">
        <v>240</v>
      </c>
      <c r="B86" s="69" t="s">
        <v>241</v>
      </c>
      <c r="C86" s="76">
        <v>9702.76</v>
      </c>
      <c r="E86" s="77">
        <v>0</v>
      </c>
    </row>
    <row r="87" spans="1:6" x14ac:dyDescent="0.25">
      <c r="A87" s="67" t="s">
        <v>242</v>
      </c>
      <c r="B87" s="69" t="s">
        <v>243</v>
      </c>
      <c r="C87" s="76">
        <v>6629.3600000000006</v>
      </c>
      <c r="E87" s="77">
        <v>0</v>
      </c>
    </row>
    <row r="88" spans="1:6" x14ac:dyDescent="0.25">
      <c r="A88" s="68" t="s">
        <v>244</v>
      </c>
      <c r="B88" s="69" t="s">
        <v>245</v>
      </c>
      <c r="C88" s="81">
        <v>20529.449629333336</v>
      </c>
      <c r="E88" s="77">
        <v>0</v>
      </c>
    </row>
    <row r="89" spans="1:6" x14ac:dyDescent="0.25">
      <c r="A89" s="67" t="s">
        <v>246</v>
      </c>
      <c r="B89" s="69" t="s">
        <v>247</v>
      </c>
      <c r="C89" s="76">
        <v>35000</v>
      </c>
      <c r="E89" s="77">
        <v>0</v>
      </c>
    </row>
    <row r="90" spans="1:6" x14ac:dyDescent="0.25">
      <c r="A90" s="68" t="s">
        <v>248</v>
      </c>
      <c r="B90" s="69" t="s">
        <v>249</v>
      </c>
      <c r="C90" s="81">
        <v>17993.709511111112</v>
      </c>
      <c r="E90" s="77">
        <v>0</v>
      </c>
    </row>
    <row r="91" spans="1:6" x14ac:dyDescent="0.25">
      <c r="A91" s="68" t="s">
        <v>250</v>
      </c>
      <c r="B91" s="69" t="s">
        <v>251</v>
      </c>
      <c r="C91" s="76">
        <v>22662.892266666669</v>
      </c>
      <c r="E91" s="77">
        <v>0</v>
      </c>
    </row>
    <row r="92" spans="1:6" x14ac:dyDescent="0.25">
      <c r="A92" s="68" t="s">
        <v>252</v>
      </c>
      <c r="B92" s="69" t="s">
        <v>253</v>
      </c>
      <c r="C92" s="76">
        <v>21321.694577777798</v>
      </c>
      <c r="E92" s="77">
        <v>0</v>
      </c>
    </row>
    <row r="93" spans="1:6" x14ac:dyDescent="0.25">
      <c r="A93" s="68" t="s">
        <v>254</v>
      </c>
      <c r="B93" s="69" t="s">
        <v>255</v>
      </c>
      <c r="C93" s="76">
        <v>26697.88</v>
      </c>
      <c r="E93" s="77">
        <v>0</v>
      </c>
      <c r="F93" s="81"/>
    </row>
    <row r="94" spans="1:6" x14ac:dyDescent="0.25">
      <c r="A94" s="67" t="s">
        <v>256</v>
      </c>
      <c r="B94" s="69" t="s">
        <v>257</v>
      </c>
      <c r="C94" s="81">
        <v>11361.32464056889</v>
      </c>
      <c r="E94" s="77">
        <v>0</v>
      </c>
    </row>
    <row r="95" spans="1:6" x14ac:dyDescent="0.25">
      <c r="A95" s="68" t="s">
        <v>258</v>
      </c>
      <c r="B95" s="69" t="s">
        <v>253</v>
      </c>
      <c r="C95" s="81">
        <v>21321.694577777798</v>
      </c>
      <c r="E95" s="77">
        <v>0</v>
      </c>
    </row>
    <row r="96" spans="1:6" x14ac:dyDescent="0.25">
      <c r="A96" s="68" t="s">
        <v>259</v>
      </c>
      <c r="B96" s="69" t="s">
        <v>260</v>
      </c>
      <c r="C96" s="81">
        <v>5630.5328333937778</v>
      </c>
      <c r="E96" s="77">
        <v>0</v>
      </c>
    </row>
    <row r="97" spans="1:5" x14ac:dyDescent="0.25">
      <c r="A97" s="67" t="s">
        <v>261</v>
      </c>
      <c r="B97" s="69" t="s">
        <v>262</v>
      </c>
      <c r="C97" s="81">
        <v>8447.6877651287123</v>
      </c>
      <c r="E97" s="77">
        <v>0</v>
      </c>
    </row>
    <row r="98" spans="1:5" x14ac:dyDescent="0.25">
      <c r="A98" s="67" t="s">
        <v>263</v>
      </c>
      <c r="B98" s="69" t="s">
        <v>225</v>
      </c>
      <c r="C98" s="81">
        <v>42807.844502577776</v>
      </c>
      <c r="E98" s="77">
        <v>0</v>
      </c>
    </row>
    <row r="99" spans="1:5" x14ac:dyDescent="0.25">
      <c r="A99" s="68" t="s">
        <v>264</v>
      </c>
      <c r="B99" s="69" t="s">
        <v>265</v>
      </c>
      <c r="C99" s="81">
        <v>28611.205644444442</v>
      </c>
      <c r="E99" s="77">
        <v>0</v>
      </c>
    </row>
    <row r="100" spans="1:5" x14ac:dyDescent="0.25">
      <c r="A100" s="67" t="s">
        <v>266</v>
      </c>
      <c r="B100" s="69" t="s">
        <v>267</v>
      </c>
      <c r="C100" s="81">
        <v>30645.060799999999</v>
      </c>
      <c r="E100" s="77">
        <v>0</v>
      </c>
    </row>
    <row r="101" spans="1:5" x14ac:dyDescent="0.25">
      <c r="A101" s="67" t="s">
        <v>268</v>
      </c>
      <c r="B101" s="69" t="s">
        <v>161</v>
      </c>
      <c r="C101" s="81">
        <v>16098.101511111112</v>
      </c>
      <c r="E101" s="77">
        <v>0</v>
      </c>
    </row>
    <row r="102" spans="1:5" x14ac:dyDescent="0.25">
      <c r="A102" s="68" t="s">
        <v>269</v>
      </c>
      <c r="B102" s="69" t="s">
        <v>270</v>
      </c>
      <c r="C102" s="81">
        <v>21083.105139022227</v>
      </c>
      <c r="E102" s="77">
        <v>0</v>
      </c>
    </row>
    <row r="103" spans="1:5" x14ac:dyDescent="0.25">
      <c r="A103" s="67" t="s">
        <v>271</v>
      </c>
      <c r="B103" s="69" t="s">
        <v>75</v>
      </c>
      <c r="C103" s="81">
        <v>17282.372975114846</v>
      </c>
      <c r="E103" s="77">
        <v>0</v>
      </c>
    </row>
    <row r="104" spans="1:5" x14ac:dyDescent="0.25">
      <c r="A104" s="67" t="s">
        <v>272</v>
      </c>
      <c r="B104" s="69" t="s">
        <v>273</v>
      </c>
      <c r="C104" s="81">
        <v>28243.32</v>
      </c>
      <c r="E104" s="77">
        <v>0</v>
      </c>
    </row>
    <row r="105" spans="1:5" x14ac:dyDescent="0.25">
      <c r="A105" s="67" t="s">
        <v>274</v>
      </c>
      <c r="B105" s="69" t="s">
        <v>179</v>
      </c>
      <c r="C105" s="81">
        <v>16407.966666666667</v>
      </c>
      <c r="E105" s="77">
        <v>0</v>
      </c>
    </row>
    <row r="106" spans="1:5" x14ac:dyDescent="0.25">
      <c r="A106" s="67" t="s">
        <v>275</v>
      </c>
      <c r="B106" s="69" t="s">
        <v>89</v>
      </c>
      <c r="C106" s="81">
        <v>16560.16</v>
      </c>
      <c r="E106" s="77">
        <v>0</v>
      </c>
    </row>
    <row r="107" spans="1:5" x14ac:dyDescent="0.25">
      <c r="A107" s="67" t="s">
        <v>276</v>
      </c>
      <c r="B107" s="69" t="s">
        <v>277</v>
      </c>
      <c r="C107" s="81">
        <v>11417.24</v>
      </c>
      <c r="E107" s="77">
        <v>0</v>
      </c>
    </row>
    <row r="108" spans="1:5" x14ac:dyDescent="0.25">
      <c r="A108" s="67" t="s">
        <v>278</v>
      </c>
      <c r="B108" s="69" t="s">
        <v>233</v>
      </c>
      <c r="C108" s="81">
        <v>25028.054948565332</v>
      </c>
      <c r="E108" s="77">
        <v>0</v>
      </c>
    </row>
    <row r="109" spans="1:5" x14ac:dyDescent="0.25">
      <c r="A109" s="67" t="s">
        <v>279</v>
      </c>
      <c r="B109" s="69" t="s">
        <v>117</v>
      </c>
      <c r="C109" s="81">
        <v>10653.585281678223</v>
      </c>
      <c r="E109" s="77">
        <v>0</v>
      </c>
    </row>
    <row r="110" spans="1:5" x14ac:dyDescent="0.25">
      <c r="A110" s="68" t="s">
        <v>280</v>
      </c>
      <c r="B110" s="69" t="s">
        <v>281</v>
      </c>
      <c r="C110" s="81">
        <v>10501.267600000001</v>
      </c>
      <c r="E110" s="77">
        <v>0</v>
      </c>
    </row>
    <row r="111" spans="1:5" x14ac:dyDescent="0.25">
      <c r="A111" s="68" t="s">
        <v>282</v>
      </c>
      <c r="B111" s="69" t="s">
        <v>283</v>
      </c>
      <c r="C111" s="81">
        <v>13554.213595559288</v>
      </c>
      <c r="E111" s="77">
        <v>0</v>
      </c>
    </row>
    <row r="112" spans="1:5" x14ac:dyDescent="0.25">
      <c r="A112" s="67" t="s">
        <v>284</v>
      </c>
      <c r="B112" s="69" t="s">
        <v>215</v>
      </c>
      <c r="C112" s="81">
        <v>9133.3107555555562</v>
      </c>
      <c r="E112" s="77">
        <v>0</v>
      </c>
    </row>
    <row r="113" spans="1:5" x14ac:dyDescent="0.25">
      <c r="A113" s="67" t="s">
        <v>285</v>
      </c>
      <c r="B113" s="69" t="s">
        <v>209</v>
      </c>
      <c r="C113" s="81">
        <v>4149.38</v>
      </c>
      <c r="E113" s="77">
        <v>0</v>
      </c>
    </row>
    <row r="114" spans="1:5" x14ac:dyDescent="0.25">
      <c r="A114" s="67" t="s">
        <v>286</v>
      </c>
      <c r="B114" s="69" t="s">
        <v>87</v>
      </c>
      <c r="C114" s="81">
        <v>12615.706133333333</v>
      </c>
      <c r="E114" s="77">
        <v>0</v>
      </c>
    </row>
    <row r="115" spans="1:5" x14ac:dyDescent="0.25">
      <c r="A115" s="67" t="s">
        <v>287</v>
      </c>
      <c r="B115" s="69" t="s">
        <v>89</v>
      </c>
      <c r="C115" s="81">
        <v>14356.903822222223</v>
      </c>
      <c r="E115" s="77">
        <v>0</v>
      </c>
    </row>
    <row r="116" spans="1:5" x14ac:dyDescent="0.25">
      <c r="A116" s="67" t="s">
        <v>288</v>
      </c>
      <c r="B116" s="69" t="s">
        <v>211</v>
      </c>
      <c r="C116" s="76">
        <v>7096.3067892035551</v>
      </c>
      <c r="E116" s="77">
        <v>0</v>
      </c>
    </row>
    <row r="117" spans="1:5" x14ac:dyDescent="0.25">
      <c r="A117" s="67" t="s">
        <v>289</v>
      </c>
      <c r="B117" s="69" t="s">
        <v>145</v>
      </c>
      <c r="C117" s="81">
        <v>24532.795772977774</v>
      </c>
      <c r="E117" s="77">
        <v>0</v>
      </c>
    </row>
    <row r="118" spans="1:5" x14ac:dyDescent="0.25">
      <c r="A118" s="67" t="s">
        <v>290</v>
      </c>
      <c r="B118" s="69" t="s">
        <v>169</v>
      </c>
      <c r="C118" s="81">
        <v>13486.304977777778</v>
      </c>
      <c r="E118" s="77">
        <v>0</v>
      </c>
    </row>
    <row r="119" spans="1:5" x14ac:dyDescent="0.25">
      <c r="A119" s="67" t="s">
        <v>291</v>
      </c>
      <c r="B119" s="69" t="s">
        <v>165</v>
      </c>
      <c r="C119" s="81">
        <v>14731.261325333333</v>
      </c>
      <c r="E119" s="77">
        <v>0</v>
      </c>
    </row>
    <row r="120" spans="1:5" x14ac:dyDescent="0.25">
      <c r="A120" s="67" t="s">
        <v>292</v>
      </c>
      <c r="B120" s="69" t="s">
        <v>121</v>
      </c>
      <c r="C120" s="81">
        <v>15697.626042666665</v>
      </c>
      <c r="E120" s="77">
        <v>0</v>
      </c>
    </row>
    <row r="121" spans="1:5" x14ac:dyDescent="0.25">
      <c r="A121" s="67" t="s">
        <v>293</v>
      </c>
      <c r="B121" s="69" t="s">
        <v>294</v>
      </c>
      <c r="C121" s="81">
        <v>14207.777120721777</v>
      </c>
      <c r="E121" s="77">
        <v>0</v>
      </c>
    </row>
    <row r="122" spans="1:5" x14ac:dyDescent="0.25">
      <c r="A122" s="67" t="s">
        <v>295</v>
      </c>
      <c r="B122" s="69" t="s">
        <v>81</v>
      </c>
      <c r="C122" s="81">
        <v>15697.626042666665</v>
      </c>
      <c r="E122" s="77">
        <v>0</v>
      </c>
    </row>
    <row r="123" spans="1:5" x14ac:dyDescent="0.25">
      <c r="A123" s="67" t="s">
        <v>296</v>
      </c>
      <c r="B123" s="69" t="s">
        <v>297</v>
      </c>
      <c r="C123" s="81">
        <v>10343.275910117336</v>
      </c>
      <c r="E123" s="77">
        <v>0</v>
      </c>
    </row>
    <row r="124" spans="1:5" x14ac:dyDescent="0.25">
      <c r="A124" s="67" t="s">
        <v>298</v>
      </c>
      <c r="B124" s="69" t="s">
        <v>299</v>
      </c>
      <c r="C124" s="81">
        <v>30814.659022222222</v>
      </c>
      <c r="E124" s="77">
        <v>0</v>
      </c>
    </row>
    <row r="125" spans="1:5" x14ac:dyDescent="0.25">
      <c r="A125" s="67" t="s">
        <v>300</v>
      </c>
      <c r="B125" s="69" t="s">
        <v>153</v>
      </c>
      <c r="C125" s="81">
        <v>11034.716043799112</v>
      </c>
      <c r="E125" s="77">
        <v>0</v>
      </c>
    </row>
    <row r="126" spans="1:5" x14ac:dyDescent="0.25">
      <c r="A126" s="67" t="s">
        <v>301</v>
      </c>
      <c r="B126" s="69" t="s">
        <v>165</v>
      </c>
      <c r="C126" s="81">
        <v>13486.304977777778</v>
      </c>
      <c r="E126" s="77">
        <v>0</v>
      </c>
    </row>
    <row r="127" spans="1:5" x14ac:dyDescent="0.25">
      <c r="A127" s="67" t="s">
        <v>302</v>
      </c>
      <c r="B127" s="69" t="s">
        <v>303</v>
      </c>
      <c r="C127" s="76">
        <v>15247.434844444446</v>
      </c>
      <c r="E127" s="77">
        <v>0</v>
      </c>
    </row>
    <row r="128" spans="1:5" x14ac:dyDescent="0.25">
      <c r="A128" s="67" t="s">
        <v>275</v>
      </c>
      <c r="B128" s="69" t="s">
        <v>89</v>
      </c>
      <c r="C128" s="81">
        <v>15526.55</v>
      </c>
      <c r="E128" s="77">
        <v>0</v>
      </c>
    </row>
    <row r="129" spans="1:5" x14ac:dyDescent="0.25">
      <c r="A129" s="67" t="s">
        <v>304</v>
      </c>
      <c r="B129" s="69" t="s">
        <v>159</v>
      </c>
      <c r="C129" s="76">
        <v>13518.782857781513</v>
      </c>
      <c r="E129" s="77">
        <v>0</v>
      </c>
    </row>
    <row r="130" spans="1:5" x14ac:dyDescent="0.25">
      <c r="A130" s="67" t="s">
        <v>305</v>
      </c>
      <c r="B130" s="69" t="s">
        <v>306</v>
      </c>
      <c r="C130" s="81">
        <v>11417.24</v>
      </c>
      <c r="E130" s="77">
        <v>0</v>
      </c>
    </row>
    <row r="131" spans="1:5" x14ac:dyDescent="0.25">
      <c r="A131" s="67" t="s">
        <v>307</v>
      </c>
      <c r="B131" s="69" t="s">
        <v>169</v>
      </c>
      <c r="C131" s="81">
        <v>14273.280977777778</v>
      </c>
      <c r="E131" s="77">
        <v>0</v>
      </c>
    </row>
    <row r="132" spans="1:5" x14ac:dyDescent="0.25">
      <c r="A132" s="67" t="s">
        <v>308</v>
      </c>
      <c r="B132" s="69" t="s">
        <v>245</v>
      </c>
      <c r="C132" s="76">
        <v>21784.848912000001</v>
      </c>
      <c r="E132" s="77">
        <v>0</v>
      </c>
    </row>
    <row r="133" spans="1:5" x14ac:dyDescent="0.25">
      <c r="A133" s="67" t="s">
        <v>309</v>
      </c>
      <c r="B133" s="69" t="s">
        <v>310</v>
      </c>
      <c r="C133" s="81">
        <v>11061.613738666701</v>
      </c>
      <c r="E133" s="77">
        <v>0</v>
      </c>
    </row>
    <row r="134" spans="1:5" x14ac:dyDescent="0.25">
      <c r="A134" s="67" t="s">
        <v>311</v>
      </c>
      <c r="B134" s="69" t="s">
        <v>312</v>
      </c>
      <c r="C134" s="81">
        <v>26938.775644444446</v>
      </c>
      <c r="E134" s="77">
        <v>0</v>
      </c>
    </row>
    <row r="135" spans="1:5" x14ac:dyDescent="0.25">
      <c r="A135" s="67" t="s">
        <v>313</v>
      </c>
      <c r="B135" s="69" t="s">
        <v>209</v>
      </c>
      <c r="C135" s="76">
        <v>7075.2007394560005</v>
      </c>
      <c r="E135" s="77">
        <v>0</v>
      </c>
    </row>
    <row r="136" spans="1:5" x14ac:dyDescent="0.25">
      <c r="A136" s="67" t="s">
        <v>314</v>
      </c>
      <c r="B136" s="69" t="s">
        <v>315</v>
      </c>
      <c r="C136" s="76">
        <v>21967.35</v>
      </c>
      <c r="E136" s="77">
        <v>0</v>
      </c>
    </row>
    <row r="137" spans="1:5" x14ac:dyDescent="0.25">
      <c r="A137" s="67" t="s">
        <v>316</v>
      </c>
      <c r="B137" s="69" t="s">
        <v>317</v>
      </c>
      <c r="C137" s="76">
        <v>8000</v>
      </c>
      <c r="E137" s="77">
        <v>0</v>
      </c>
    </row>
    <row r="138" spans="1:5" x14ac:dyDescent="0.25">
      <c r="A138" s="67" t="s">
        <v>318</v>
      </c>
      <c r="B138" s="69" t="s">
        <v>319</v>
      </c>
      <c r="C138" s="81">
        <v>10789.444138666666</v>
      </c>
      <c r="E138" s="77">
        <v>0</v>
      </c>
    </row>
    <row r="139" spans="1:5" x14ac:dyDescent="0.25">
      <c r="A139" s="68" t="s">
        <v>320</v>
      </c>
      <c r="B139" s="69" t="s">
        <v>117</v>
      </c>
      <c r="C139" s="81">
        <v>10653.585281678223</v>
      </c>
      <c r="E139" s="77">
        <v>0</v>
      </c>
    </row>
    <row r="140" spans="1:5" x14ac:dyDescent="0.25">
      <c r="A140" s="68" t="s">
        <v>321</v>
      </c>
      <c r="B140" s="69" t="s">
        <v>322</v>
      </c>
      <c r="C140" s="81">
        <v>29608.901955555557</v>
      </c>
      <c r="E140" s="77">
        <v>0</v>
      </c>
    </row>
    <row r="141" spans="1:5" x14ac:dyDescent="0.25">
      <c r="A141" s="67" t="s">
        <v>323</v>
      </c>
      <c r="B141" s="69" t="s">
        <v>173</v>
      </c>
      <c r="C141" s="76">
        <v>12767.538571804445</v>
      </c>
      <c r="E141" s="77">
        <v>0</v>
      </c>
    </row>
    <row r="142" spans="1:5" x14ac:dyDescent="0.25">
      <c r="A142" s="67" t="s">
        <v>324</v>
      </c>
      <c r="B142" s="69" t="s">
        <v>161</v>
      </c>
      <c r="C142" s="81">
        <v>12767.190332266668</v>
      </c>
      <c r="E142" s="77">
        <v>0</v>
      </c>
    </row>
    <row r="143" spans="1:5" x14ac:dyDescent="0.25">
      <c r="A143" s="67" t="s">
        <v>325</v>
      </c>
      <c r="B143" s="69" t="s">
        <v>312</v>
      </c>
      <c r="C143" s="81">
        <v>27332.263644444443</v>
      </c>
      <c r="E143" s="77">
        <v>0</v>
      </c>
    </row>
    <row r="144" spans="1:5" x14ac:dyDescent="0.25">
      <c r="A144" s="67" t="s">
        <v>326</v>
      </c>
      <c r="B144" s="69" t="s">
        <v>155</v>
      </c>
      <c r="C144" s="81">
        <v>13300.066472974222</v>
      </c>
      <c r="E144" s="77">
        <v>0</v>
      </c>
    </row>
    <row r="145" spans="1:5" x14ac:dyDescent="0.25">
      <c r="A145" s="68" t="s">
        <v>327</v>
      </c>
      <c r="B145" s="69" t="s">
        <v>328</v>
      </c>
      <c r="C145" s="81">
        <v>23428.543781333334</v>
      </c>
      <c r="E145" s="77">
        <v>0</v>
      </c>
    </row>
    <row r="146" spans="1:5" x14ac:dyDescent="0.25">
      <c r="A146" s="68" t="s">
        <v>329</v>
      </c>
      <c r="B146" s="69" t="s">
        <v>330</v>
      </c>
      <c r="C146" s="81">
        <v>18539.412355555556</v>
      </c>
      <c r="E146" s="77">
        <v>0</v>
      </c>
    </row>
    <row r="147" spans="1:5" x14ac:dyDescent="0.25">
      <c r="A147" s="67" t="s">
        <v>331</v>
      </c>
      <c r="B147" s="69" t="s">
        <v>179</v>
      </c>
      <c r="C147" s="81">
        <v>15620.990666666665</v>
      </c>
      <c r="E147" s="77">
        <v>0</v>
      </c>
    </row>
    <row r="148" spans="1:5" x14ac:dyDescent="0.25">
      <c r="A148" s="67" t="s">
        <v>332</v>
      </c>
      <c r="B148" s="69" t="s">
        <v>333</v>
      </c>
      <c r="C148" s="81">
        <v>16786.259999999998</v>
      </c>
      <c r="E148" s="77">
        <v>0</v>
      </c>
    </row>
    <row r="149" spans="1:5" x14ac:dyDescent="0.25">
      <c r="A149" s="67" t="s">
        <v>334</v>
      </c>
      <c r="B149" s="69" t="s">
        <v>177</v>
      </c>
      <c r="C149" s="76">
        <v>9444.909599999999</v>
      </c>
      <c r="E149" s="77">
        <v>0</v>
      </c>
    </row>
    <row r="150" spans="1:5" x14ac:dyDescent="0.25">
      <c r="A150" s="68" t="s">
        <v>335</v>
      </c>
      <c r="B150" s="69" t="s">
        <v>310</v>
      </c>
      <c r="C150" s="76">
        <v>11061.613738666701</v>
      </c>
      <c r="E150" s="77">
        <v>0</v>
      </c>
    </row>
    <row r="151" spans="1:5" x14ac:dyDescent="0.25">
      <c r="A151" s="67" t="s">
        <v>336</v>
      </c>
      <c r="B151" s="69" t="s">
        <v>281</v>
      </c>
      <c r="C151" s="76">
        <v>11412.67</v>
      </c>
      <c r="E151" s="77">
        <v>0</v>
      </c>
    </row>
    <row r="152" spans="1:5" x14ac:dyDescent="0.25">
      <c r="A152" s="67" t="s">
        <v>337</v>
      </c>
      <c r="B152" s="69" t="s">
        <v>165</v>
      </c>
      <c r="C152" s="81">
        <v>14244.449524448179</v>
      </c>
      <c r="E152" s="77">
        <v>0</v>
      </c>
    </row>
    <row r="153" spans="1:5" x14ac:dyDescent="0.25">
      <c r="A153" s="68" t="s">
        <v>338</v>
      </c>
      <c r="B153" s="69" t="s">
        <v>179</v>
      </c>
      <c r="C153" s="76">
        <v>12760.638311111112</v>
      </c>
      <c r="E153" s="77">
        <v>0</v>
      </c>
    </row>
    <row r="154" spans="1:5" x14ac:dyDescent="0.25">
      <c r="A154" s="67" t="s">
        <v>339</v>
      </c>
      <c r="B154" s="69" t="s">
        <v>225</v>
      </c>
      <c r="C154" s="81">
        <v>42751.584502577774</v>
      </c>
      <c r="E154" s="77">
        <v>0</v>
      </c>
    </row>
    <row r="155" spans="1:5" x14ac:dyDescent="0.25">
      <c r="A155" s="67" t="s">
        <v>340</v>
      </c>
      <c r="B155" s="69" t="s">
        <v>197</v>
      </c>
      <c r="C155" s="81">
        <v>19570.027025066665</v>
      </c>
      <c r="E155" s="77">
        <v>0</v>
      </c>
    </row>
    <row r="156" spans="1:5" x14ac:dyDescent="0.25">
      <c r="A156" s="67" t="s">
        <v>341</v>
      </c>
      <c r="B156" s="69" t="s">
        <v>342</v>
      </c>
      <c r="C156" s="81">
        <v>19603.798044444444</v>
      </c>
      <c r="E156" s="77">
        <v>0</v>
      </c>
    </row>
    <row r="157" spans="1:5" x14ac:dyDescent="0.25">
      <c r="A157" s="67" t="s">
        <v>343</v>
      </c>
      <c r="B157" s="69" t="s">
        <v>85</v>
      </c>
      <c r="C157" s="81">
        <v>12615.706133333333</v>
      </c>
      <c r="E157" s="77">
        <v>0</v>
      </c>
    </row>
    <row r="158" spans="1:5" x14ac:dyDescent="0.25">
      <c r="A158" s="68" t="s">
        <v>344</v>
      </c>
      <c r="B158" s="69" t="s">
        <v>345</v>
      </c>
      <c r="C158" s="81">
        <v>17813.797534410667</v>
      </c>
      <c r="E158" s="77">
        <v>0</v>
      </c>
    </row>
    <row r="159" spans="1:5" x14ac:dyDescent="0.25">
      <c r="A159" s="67" t="s">
        <v>346</v>
      </c>
      <c r="B159" s="69" t="s">
        <v>347</v>
      </c>
      <c r="C159" s="81">
        <v>10421.751689955556</v>
      </c>
      <c r="E159" s="77">
        <v>0</v>
      </c>
    </row>
    <row r="160" spans="1:5" x14ac:dyDescent="0.25">
      <c r="A160" s="67" t="s">
        <v>348</v>
      </c>
      <c r="B160" s="69" t="s">
        <v>245</v>
      </c>
      <c r="C160" s="81">
        <v>25900.931111111113</v>
      </c>
      <c r="E160" s="77">
        <v>0</v>
      </c>
    </row>
    <row r="161" spans="1:5" x14ac:dyDescent="0.25">
      <c r="A161" s="67" t="s">
        <v>349</v>
      </c>
      <c r="B161" s="69" t="s">
        <v>350</v>
      </c>
      <c r="C161" s="81">
        <v>22581.800960067554</v>
      </c>
      <c r="E161" s="77">
        <v>0</v>
      </c>
    </row>
    <row r="162" spans="1:5" x14ac:dyDescent="0.25">
      <c r="A162" s="67" t="s">
        <v>351</v>
      </c>
      <c r="B162" s="69" t="s">
        <v>79</v>
      </c>
      <c r="C162" s="81">
        <v>16484.602042666666</v>
      </c>
      <c r="E162" s="77">
        <v>0</v>
      </c>
    </row>
    <row r="163" spans="1:5" x14ac:dyDescent="0.25">
      <c r="A163" s="67" t="s">
        <v>352</v>
      </c>
      <c r="B163" s="69" t="s">
        <v>353</v>
      </c>
      <c r="C163" s="81">
        <v>13464.213595559288</v>
      </c>
      <c r="E163" s="77">
        <v>0</v>
      </c>
    </row>
    <row r="164" spans="1:5" x14ac:dyDescent="0.25">
      <c r="A164" s="67" t="s">
        <v>354</v>
      </c>
      <c r="B164" s="69" t="s">
        <v>355</v>
      </c>
      <c r="C164" s="81">
        <v>10296.211250666667</v>
      </c>
      <c r="E164" s="77">
        <v>0</v>
      </c>
    </row>
    <row r="165" spans="1:5" x14ac:dyDescent="0.25">
      <c r="A165" s="67" t="s">
        <v>356</v>
      </c>
      <c r="B165" s="69" t="s">
        <v>357</v>
      </c>
      <c r="C165" s="76">
        <v>11354.647182304001</v>
      </c>
      <c r="E165" s="77">
        <v>0</v>
      </c>
    </row>
    <row r="166" spans="1:5" x14ac:dyDescent="0.25">
      <c r="A166" s="67" t="s">
        <v>358</v>
      </c>
      <c r="B166" s="69" t="s">
        <v>359</v>
      </c>
      <c r="C166" s="81">
        <v>13138.065440000002</v>
      </c>
      <c r="E166" s="77">
        <v>0</v>
      </c>
    </row>
    <row r="167" spans="1:5" x14ac:dyDescent="0.25">
      <c r="A167" s="67" t="s">
        <v>360</v>
      </c>
      <c r="B167" s="69" t="s">
        <v>119</v>
      </c>
      <c r="C167" s="81">
        <v>14099.161208888891</v>
      </c>
      <c r="E167" s="77">
        <v>0</v>
      </c>
    </row>
    <row r="168" spans="1:5" x14ac:dyDescent="0.25">
      <c r="A168" s="67" t="s">
        <v>361</v>
      </c>
      <c r="B168" s="69" t="s">
        <v>362</v>
      </c>
      <c r="C168" s="81">
        <v>19690.608044444445</v>
      </c>
      <c r="E168" s="77">
        <v>0</v>
      </c>
    </row>
    <row r="169" spans="1:5" x14ac:dyDescent="0.25">
      <c r="A169" s="67" t="s">
        <v>363</v>
      </c>
      <c r="B169" s="69" t="s">
        <v>364</v>
      </c>
      <c r="C169" s="81">
        <v>11298.096486773335</v>
      </c>
      <c r="E169" s="77">
        <v>0</v>
      </c>
    </row>
    <row r="170" spans="1:5" x14ac:dyDescent="0.25">
      <c r="A170" s="68" t="s">
        <v>365</v>
      </c>
      <c r="B170" s="69" t="s">
        <v>153</v>
      </c>
      <c r="C170" s="81">
        <v>11613.58473468071</v>
      </c>
      <c r="E170" s="77">
        <v>0</v>
      </c>
    </row>
    <row r="171" spans="1:5" x14ac:dyDescent="0.25">
      <c r="A171" s="68" t="s">
        <v>366</v>
      </c>
      <c r="B171" s="69" t="s">
        <v>367</v>
      </c>
      <c r="C171" s="76">
        <v>9345.4377386666674</v>
      </c>
      <c r="E171" s="77">
        <v>0</v>
      </c>
    </row>
    <row r="172" spans="1:5" x14ac:dyDescent="0.25">
      <c r="A172" s="67" t="s">
        <v>368</v>
      </c>
      <c r="B172" s="69" t="s">
        <v>81</v>
      </c>
      <c r="C172" s="81">
        <v>15697.626042666665</v>
      </c>
      <c r="E172" s="77">
        <v>0</v>
      </c>
    </row>
    <row r="173" spans="1:5" x14ac:dyDescent="0.25">
      <c r="A173" s="67" t="s">
        <v>369</v>
      </c>
      <c r="B173" s="69" t="s">
        <v>159</v>
      </c>
      <c r="C173" s="81">
        <v>13486.304977777778</v>
      </c>
      <c r="E173" s="77">
        <v>0</v>
      </c>
    </row>
    <row r="174" spans="1:5" x14ac:dyDescent="0.25">
      <c r="A174" t="s">
        <v>370</v>
      </c>
      <c r="B174" s="69" t="s">
        <v>371</v>
      </c>
      <c r="C174" s="81">
        <v>35000</v>
      </c>
      <c r="E174" s="77">
        <v>0</v>
      </c>
    </row>
    <row r="175" spans="1:5" x14ac:dyDescent="0.25">
      <c r="A175" s="67" t="s">
        <v>372</v>
      </c>
      <c r="B175" s="69" t="s">
        <v>373</v>
      </c>
      <c r="C175" s="81">
        <v>22416.032346811735</v>
      </c>
      <c r="E175" s="77">
        <v>0</v>
      </c>
    </row>
    <row r="176" spans="1:5" x14ac:dyDescent="0.25">
      <c r="A176" s="67" t="s">
        <v>374</v>
      </c>
      <c r="B176" s="69" t="s">
        <v>375</v>
      </c>
      <c r="C176" s="81">
        <v>13308.536133333335</v>
      </c>
      <c r="E176" s="77">
        <v>0</v>
      </c>
    </row>
    <row r="177" spans="1:5" x14ac:dyDescent="0.25">
      <c r="A177" s="67" t="s">
        <v>376</v>
      </c>
      <c r="B177" s="69" t="s">
        <v>377</v>
      </c>
      <c r="C177" s="81">
        <v>11440.182711114843</v>
      </c>
      <c r="E177" s="77">
        <v>0</v>
      </c>
    </row>
    <row r="178" spans="1:5" x14ac:dyDescent="0.25">
      <c r="A178" s="67" t="s">
        <v>378</v>
      </c>
      <c r="B178" s="69" t="s">
        <v>75</v>
      </c>
      <c r="C178" s="81">
        <v>15181.525848892623</v>
      </c>
      <c r="E178" s="77">
        <v>0</v>
      </c>
    </row>
    <row r="179" spans="1:5" x14ac:dyDescent="0.25">
      <c r="A179" s="67" t="s">
        <v>379</v>
      </c>
      <c r="B179" s="69" t="s">
        <v>380</v>
      </c>
      <c r="C179" s="81">
        <v>21383.290684366046</v>
      </c>
      <c r="E179" s="77">
        <v>0</v>
      </c>
    </row>
    <row r="180" spans="1:5" x14ac:dyDescent="0.25">
      <c r="A180" s="67" t="s">
        <v>381</v>
      </c>
      <c r="B180" s="69" t="s">
        <v>382</v>
      </c>
      <c r="C180" s="76">
        <v>14305.758857781511</v>
      </c>
      <c r="E180" s="77">
        <v>0</v>
      </c>
    </row>
    <row r="181" spans="1:5" x14ac:dyDescent="0.25">
      <c r="A181" s="67" t="s">
        <v>383</v>
      </c>
      <c r="B181" s="69" t="s">
        <v>384</v>
      </c>
      <c r="C181" s="81">
        <v>20687.761138895825</v>
      </c>
      <c r="E181" s="77">
        <v>0</v>
      </c>
    </row>
    <row r="182" spans="1:5" x14ac:dyDescent="0.25">
      <c r="A182" s="67" t="s">
        <v>385</v>
      </c>
      <c r="B182" s="69" t="s">
        <v>386</v>
      </c>
      <c r="C182" s="81">
        <v>23863.988339465599</v>
      </c>
      <c r="E182" s="77">
        <v>0</v>
      </c>
    </row>
    <row r="183" spans="1:5" x14ac:dyDescent="0.25">
      <c r="A183" s="67" t="s">
        <v>387</v>
      </c>
      <c r="B183" s="69" t="s">
        <v>145</v>
      </c>
      <c r="C183" s="81">
        <v>30631.376491559287</v>
      </c>
      <c r="E183" s="77">
        <v>0</v>
      </c>
    </row>
    <row r="184" spans="1:5" x14ac:dyDescent="0.25">
      <c r="A184" s="67" t="s">
        <v>388</v>
      </c>
      <c r="B184" s="69" t="s">
        <v>384</v>
      </c>
      <c r="C184" s="81">
        <v>21081.249138895822</v>
      </c>
      <c r="E184" s="77">
        <v>0</v>
      </c>
    </row>
    <row r="185" spans="1:5" x14ac:dyDescent="0.25">
      <c r="A185" s="67" t="s">
        <v>389</v>
      </c>
      <c r="B185" s="69" t="s">
        <v>390</v>
      </c>
      <c r="C185" s="81">
        <v>22035.746613392716</v>
      </c>
      <c r="E185" s="77">
        <v>0</v>
      </c>
    </row>
    <row r="186" spans="1:5" x14ac:dyDescent="0.25">
      <c r="A186" s="67" t="s">
        <v>391</v>
      </c>
      <c r="B186" s="69" t="s">
        <v>392</v>
      </c>
      <c r="C186" s="81">
        <v>17059.206337781514</v>
      </c>
      <c r="E186" s="77">
        <v>0</v>
      </c>
    </row>
    <row r="187" spans="1:5" x14ac:dyDescent="0.25">
      <c r="A187" s="67" t="s">
        <v>393</v>
      </c>
      <c r="B187" s="69" t="s">
        <v>306</v>
      </c>
      <c r="C187" s="81">
        <v>11440.182711114843</v>
      </c>
      <c r="E187" s="77">
        <v>0</v>
      </c>
    </row>
    <row r="188" spans="1:5" x14ac:dyDescent="0.25">
      <c r="A188" s="67" t="s">
        <v>394</v>
      </c>
      <c r="B188" s="69" t="s">
        <v>373</v>
      </c>
      <c r="C188" s="81">
        <v>21629.056346811733</v>
      </c>
      <c r="E188" s="77">
        <v>0</v>
      </c>
    </row>
    <row r="189" spans="1:5" x14ac:dyDescent="0.25">
      <c r="A189" s="67" t="s">
        <v>395</v>
      </c>
      <c r="B189" s="69" t="s">
        <v>396</v>
      </c>
      <c r="C189" s="81">
        <v>28666.811757737072</v>
      </c>
      <c r="E189" s="77">
        <v>0</v>
      </c>
    </row>
    <row r="190" spans="1:5" x14ac:dyDescent="0.25">
      <c r="A190" s="67" t="s">
        <v>397</v>
      </c>
      <c r="B190" s="69" t="s">
        <v>398</v>
      </c>
      <c r="C190" s="81">
        <v>7440.2828783608884</v>
      </c>
      <c r="E190" s="77">
        <v>0</v>
      </c>
    </row>
    <row r="191" spans="1:5" x14ac:dyDescent="0.25">
      <c r="A191" s="67" t="s">
        <v>399</v>
      </c>
      <c r="B191" s="69" t="s">
        <v>400</v>
      </c>
      <c r="C191" s="81">
        <v>13946.557495114845</v>
      </c>
      <c r="E191" s="77">
        <v>0</v>
      </c>
    </row>
    <row r="192" spans="1:5" x14ac:dyDescent="0.25">
      <c r="A192" s="67" t="s">
        <v>401</v>
      </c>
      <c r="B192" s="69" t="s">
        <v>400</v>
      </c>
      <c r="C192" s="81">
        <v>13553.069495114843</v>
      </c>
      <c r="E192" s="77">
        <v>0</v>
      </c>
    </row>
    <row r="193" spans="1:5" x14ac:dyDescent="0.25">
      <c r="A193" s="67" t="s">
        <v>402</v>
      </c>
      <c r="B193" s="69" t="s">
        <v>373</v>
      </c>
      <c r="C193" s="81">
        <v>22022.544346811734</v>
      </c>
      <c r="E193" s="77">
        <v>0</v>
      </c>
    </row>
    <row r="194" spans="1:5" x14ac:dyDescent="0.25">
      <c r="A194" s="67" t="s">
        <v>403</v>
      </c>
      <c r="B194" s="69" t="s">
        <v>404</v>
      </c>
      <c r="C194" s="81">
        <v>8308.2978819376003</v>
      </c>
      <c r="E194" s="77">
        <v>0</v>
      </c>
    </row>
    <row r="195" spans="1:5" x14ac:dyDescent="0.25">
      <c r="A195" s="67" t="s">
        <v>405</v>
      </c>
      <c r="B195" s="69" t="s">
        <v>406</v>
      </c>
      <c r="C195" s="81">
        <v>11872.536826666666</v>
      </c>
      <c r="E195" s="77">
        <v>0</v>
      </c>
    </row>
    <row r="196" spans="1:5" x14ac:dyDescent="0.25">
      <c r="A196" s="67" t="s">
        <v>407</v>
      </c>
      <c r="B196" s="69" t="s">
        <v>408</v>
      </c>
      <c r="C196" s="81">
        <v>22130.74626127378</v>
      </c>
      <c r="E196" s="77">
        <v>0</v>
      </c>
    </row>
    <row r="197" spans="1:5" x14ac:dyDescent="0.25">
      <c r="A197" s="67" t="s">
        <v>409</v>
      </c>
      <c r="B197" s="69" t="s">
        <v>382</v>
      </c>
      <c r="C197" s="81">
        <v>14637.937524448178</v>
      </c>
      <c r="E197" s="77">
        <v>0</v>
      </c>
    </row>
    <row r="198" spans="1:5" x14ac:dyDescent="0.25">
      <c r="A198" s="67" t="s">
        <v>410</v>
      </c>
      <c r="B198" s="69" t="s">
        <v>209</v>
      </c>
      <c r="C198" s="81">
        <v>5022.3210896000001</v>
      </c>
      <c r="E198" s="77">
        <v>0</v>
      </c>
    </row>
    <row r="199" spans="1:5" x14ac:dyDescent="0.25">
      <c r="A199" s="67" t="s">
        <v>411</v>
      </c>
      <c r="B199" s="69" t="s">
        <v>412</v>
      </c>
      <c r="C199" s="81">
        <v>27304.506862225957</v>
      </c>
      <c r="E199" s="77">
        <v>0</v>
      </c>
    </row>
    <row r="200" spans="1:5" x14ac:dyDescent="0.25">
      <c r="A200" s="67" t="s">
        <v>413</v>
      </c>
      <c r="B200" s="69" t="s">
        <v>414</v>
      </c>
      <c r="C200" s="81">
        <v>18006.869313518044</v>
      </c>
      <c r="E200" s="77">
        <v>0</v>
      </c>
    </row>
    <row r="201" spans="1:5" x14ac:dyDescent="0.25">
      <c r="A201" s="67" t="s">
        <v>415</v>
      </c>
      <c r="B201" s="69" t="s">
        <v>135</v>
      </c>
      <c r="C201" s="76">
        <v>7096.1293819375996</v>
      </c>
      <c r="E201" s="77">
        <v>0</v>
      </c>
    </row>
    <row r="202" spans="1:5" x14ac:dyDescent="0.25">
      <c r="A202" s="68" t="s">
        <v>416</v>
      </c>
      <c r="B202" s="69" t="s">
        <v>281</v>
      </c>
      <c r="C202" s="76">
        <v>10839.516044448177</v>
      </c>
      <c r="E202" s="77">
        <v>0</v>
      </c>
    </row>
    <row r="203" spans="1:5" x14ac:dyDescent="0.25">
      <c r="A203" s="67" t="s">
        <v>417</v>
      </c>
      <c r="B203" s="69" t="s">
        <v>221</v>
      </c>
      <c r="C203" s="81">
        <v>24167.17</v>
      </c>
      <c r="E203" s="77">
        <v>0</v>
      </c>
    </row>
    <row r="204" spans="1:5" x14ac:dyDescent="0.25">
      <c r="A204" s="67" t="s">
        <v>418</v>
      </c>
      <c r="B204" s="69" t="s">
        <v>419</v>
      </c>
      <c r="C204" s="81">
        <v>35000</v>
      </c>
      <c r="E204" s="77">
        <v>0</v>
      </c>
    </row>
    <row r="205" spans="1:5" x14ac:dyDescent="0.25">
      <c r="A205" s="67" t="s">
        <v>420</v>
      </c>
      <c r="B205" s="69" t="s">
        <v>421</v>
      </c>
      <c r="C205" s="81">
        <v>40000</v>
      </c>
      <c r="E205" s="77">
        <v>0</v>
      </c>
    </row>
    <row r="206" spans="1:5" x14ac:dyDescent="0.25">
      <c r="A206" s="67" t="s">
        <v>422</v>
      </c>
      <c r="B206" s="69" t="s">
        <v>103</v>
      </c>
      <c r="C206" s="76">
        <v>13518.782857781513</v>
      </c>
      <c r="E206" s="77">
        <v>0</v>
      </c>
    </row>
    <row r="207" spans="1:5" x14ac:dyDescent="0.25">
      <c r="A207" s="68" t="s">
        <v>423</v>
      </c>
      <c r="B207" s="69" t="s">
        <v>424</v>
      </c>
      <c r="C207" s="75">
        <v>7096.3067892035551</v>
      </c>
      <c r="E207" s="77">
        <v>0</v>
      </c>
    </row>
    <row r="208" spans="1:5" x14ac:dyDescent="0.25">
      <c r="A208" s="67" t="s">
        <v>425</v>
      </c>
      <c r="B208" s="69" t="s">
        <v>121</v>
      </c>
      <c r="C208" s="75">
        <v>16975.680142666664</v>
      </c>
      <c r="E208" s="77">
        <v>0</v>
      </c>
    </row>
    <row r="209" spans="1:5" x14ac:dyDescent="0.25">
      <c r="A209" s="67" t="s">
        <v>426</v>
      </c>
      <c r="B209" s="69" t="s">
        <v>382</v>
      </c>
      <c r="C209" s="75">
        <v>14699.046857781512</v>
      </c>
      <c r="E209" s="77">
        <v>0</v>
      </c>
    </row>
    <row r="210" spans="1:5" x14ac:dyDescent="0.25">
      <c r="A210" s="68" t="s">
        <v>261</v>
      </c>
      <c r="B210" s="69" t="s">
        <v>262</v>
      </c>
      <c r="C210" s="75">
        <v>8663.6877651287123</v>
      </c>
      <c r="E210" s="77">
        <v>0</v>
      </c>
    </row>
    <row r="211" spans="1:5" x14ac:dyDescent="0.25">
      <c r="A211" s="67" t="s">
        <v>427</v>
      </c>
      <c r="B211" s="69" t="s">
        <v>428</v>
      </c>
      <c r="C211" s="75">
        <v>23450.800266666665</v>
      </c>
      <c r="E211" s="77">
        <v>0</v>
      </c>
    </row>
    <row r="212" spans="1:5" x14ac:dyDescent="0.25">
      <c r="A212" s="67" t="s">
        <v>429</v>
      </c>
      <c r="B212" s="69" t="s">
        <v>430</v>
      </c>
      <c r="C212" s="75">
        <v>8477.816347475733</v>
      </c>
      <c r="E212" s="77">
        <v>0</v>
      </c>
    </row>
    <row r="213" spans="1:5" x14ac:dyDescent="0.25">
      <c r="A213" s="68" t="s">
        <v>431</v>
      </c>
      <c r="B213" s="69" t="s">
        <v>119</v>
      </c>
      <c r="C213" s="75">
        <v>12624.536133333335</v>
      </c>
      <c r="E213" s="77">
        <v>0</v>
      </c>
    </row>
    <row r="214" spans="1:5" x14ac:dyDescent="0.25">
      <c r="A214" s="67" t="s">
        <v>411</v>
      </c>
      <c r="B214" s="69" t="s">
        <v>412</v>
      </c>
      <c r="C214" s="75">
        <v>26037.173528892621</v>
      </c>
      <c r="E214" s="77">
        <v>0</v>
      </c>
    </row>
    <row r="215" spans="1:5" x14ac:dyDescent="0.25">
      <c r="A215" s="67" t="s">
        <v>432</v>
      </c>
      <c r="B215" s="69" t="s">
        <v>105</v>
      </c>
      <c r="C215" s="75">
        <v>9546.3818830259552</v>
      </c>
      <c r="E215" s="77">
        <v>0</v>
      </c>
    </row>
    <row r="216" spans="1:5" x14ac:dyDescent="0.25">
      <c r="A216" s="68" t="s">
        <v>433</v>
      </c>
      <c r="B216" s="69" t="s">
        <v>211</v>
      </c>
      <c r="C216" s="75">
        <v>3966.2844288000001</v>
      </c>
      <c r="E216" s="77">
        <v>0</v>
      </c>
    </row>
    <row r="217" spans="1:5" x14ac:dyDescent="0.25">
      <c r="A217" s="67" t="s">
        <v>434</v>
      </c>
      <c r="B217" s="69" t="s">
        <v>435</v>
      </c>
      <c r="C217" s="75">
        <v>28720.55199120018</v>
      </c>
      <c r="E217" s="77">
        <v>0</v>
      </c>
    </row>
    <row r="218" spans="1:5" x14ac:dyDescent="0.25">
      <c r="A218" s="67" t="s">
        <v>415</v>
      </c>
      <c r="B218" s="69" t="s">
        <v>135</v>
      </c>
      <c r="C218" s="75">
        <v>7096.1293819375996</v>
      </c>
      <c r="E218" s="77">
        <v>0</v>
      </c>
    </row>
    <row r="219" spans="1:5" x14ac:dyDescent="0.25">
      <c r="A219" s="68" t="s">
        <v>288</v>
      </c>
      <c r="B219" s="69" t="s">
        <v>424</v>
      </c>
      <c r="C219" s="75">
        <v>7096.3067892035551</v>
      </c>
      <c r="E219" s="77">
        <v>0</v>
      </c>
    </row>
    <row r="220" spans="1:5" x14ac:dyDescent="0.25">
      <c r="A220" s="67" t="s">
        <v>436</v>
      </c>
      <c r="B220" s="69" t="s">
        <v>209</v>
      </c>
      <c r="C220" s="75">
        <v>4044.2803725599997</v>
      </c>
      <c r="E220" s="77">
        <v>0</v>
      </c>
    </row>
    <row r="221" spans="1:5" x14ac:dyDescent="0.25">
      <c r="A221" s="67" t="s">
        <v>437</v>
      </c>
      <c r="B221" s="69" t="s">
        <v>438</v>
      </c>
      <c r="C221" s="75">
        <v>10235.444138666668</v>
      </c>
      <c r="E221" s="77">
        <v>0</v>
      </c>
    </row>
    <row r="222" spans="1:5" x14ac:dyDescent="0.25">
      <c r="A222" s="68" t="s">
        <v>304</v>
      </c>
      <c r="B222" s="69" t="s">
        <v>169</v>
      </c>
      <c r="C222" s="75">
        <v>13518.782857781513</v>
      </c>
      <c r="E222" s="77">
        <v>0</v>
      </c>
    </row>
    <row r="223" spans="1:5" x14ac:dyDescent="0.25">
      <c r="A223" s="67" t="s">
        <v>439</v>
      </c>
      <c r="B223" s="69" t="s">
        <v>440</v>
      </c>
      <c r="C223" s="75">
        <v>10206.070293333334</v>
      </c>
      <c r="E223" s="77">
        <v>0</v>
      </c>
    </row>
    <row r="224" spans="1:5" x14ac:dyDescent="0.25">
      <c r="A224" s="67" t="s">
        <v>313</v>
      </c>
      <c r="B224" s="69" t="s">
        <v>441</v>
      </c>
      <c r="C224" s="75">
        <v>7075.2007394560005</v>
      </c>
      <c r="E224" s="77">
        <v>0</v>
      </c>
    </row>
    <row r="225" spans="1:5" x14ac:dyDescent="0.25">
      <c r="A225" s="68" t="s">
        <v>442</v>
      </c>
      <c r="B225" s="69" t="s">
        <v>209</v>
      </c>
      <c r="C225" s="75">
        <v>4044.2803725599997</v>
      </c>
      <c r="E225" s="77">
        <v>0</v>
      </c>
    </row>
    <row r="226" spans="1:5" x14ac:dyDescent="0.25">
      <c r="A226" s="67" t="s">
        <v>416</v>
      </c>
      <c r="B226" s="69" t="s">
        <v>281</v>
      </c>
      <c r="C226" s="75">
        <v>10839.516044448177</v>
      </c>
      <c r="E226" s="77">
        <v>0</v>
      </c>
    </row>
    <row r="227" spans="1:5" x14ac:dyDescent="0.25">
      <c r="A227" s="67" t="s">
        <v>443</v>
      </c>
      <c r="B227" s="69" t="s">
        <v>444</v>
      </c>
      <c r="C227" s="75">
        <v>5866.3545048926217</v>
      </c>
      <c r="E227" s="77">
        <v>0</v>
      </c>
    </row>
    <row r="228" spans="1:5" x14ac:dyDescent="0.25">
      <c r="A228" s="68" t="s">
        <v>445</v>
      </c>
      <c r="B228" s="69" t="s">
        <v>446</v>
      </c>
      <c r="C228" s="75">
        <v>7095.8093455904</v>
      </c>
      <c r="E228" s="77">
        <v>0</v>
      </c>
    </row>
    <row r="229" spans="1:5" x14ac:dyDescent="0.25">
      <c r="A229" s="67" t="s">
        <v>447</v>
      </c>
      <c r="B229" s="69" t="s">
        <v>448</v>
      </c>
      <c r="C229" s="75">
        <v>11626.492044448176</v>
      </c>
      <c r="E229" s="77">
        <v>0</v>
      </c>
    </row>
    <row r="230" spans="1:5" x14ac:dyDescent="0.25">
      <c r="A230" s="67" t="s">
        <v>422</v>
      </c>
      <c r="B230" s="69" t="s">
        <v>103</v>
      </c>
      <c r="C230" s="75">
        <v>13518.782857781513</v>
      </c>
      <c r="E230" s="77">
        <v>0</v>
      </c>
    </row>
    <row r="231" spans="1:5" x14ac:dyDescent="0.25">
      <c r="A231" s="68" t="s">
        <v>449</v>
      </c>
      <c r="B231" s="69" t="s">
        <v>450</v>
      </c>
      <c r="C231" s="75">
        <v>16879</v>
      </c>
      <c r="E231" s="77">
        <v>0</v>
      </c>
    </row>
    <row r="234" spans="1:5" x14ac:dyDescent="0.25">
      <c r="A234" s="68"/>
    </row>
    <row r="239" spans="1:5" x14ac:dyDescent="0.25">
      <c r="A239" s="68"/>
    </row>
    <row r="242" spans="1:1" x14ac:dyDescent="0.25">
      <c r="A242" s="68"/>
    </row>
    <row r="245" spans="1:1" x14ac:dyDescent="0.25">
      <c r="A245" s="68"/>
    </row>
    <row r="248" spans="1:1" x14ac:dyDescent="0.25">
      <c r="A248" s="68"/>
    </row>
    <row r="251" spans="1:1" x14ac:dyDescent="0.25">
      <c r="A251" s="68"/>
    </row>
    <row r="256" spans="1:1" x14ac:dyDescent="0.25">
      <c r="A256" s="68"/>
    </row>
    <row r="259" spans="1:1" x14ac:dyDescent="0.25">
      <c r="A259" s="68"/>
    </row>
    <row r="262" spans="1:1" x14ac:dyDescent="0.25">
      <c r="A262" s="68"/>
    </row>
    <row r="265" spans="1:1" x14ac:dyDescent="0.25">
      <c r="A265" s="68"/>
    </row>
    <row r="268" spans="1:1" x14ac:dyDescent="0.25">
      <c r="A268" s="68"/>
    </row>
    <row r="271" spans="1:1" x14ac:dyDescent="0.25">
      <c r="A271" s="68"/>
    </row>
    <row r="274" spans="1:1" x14ac:dyDescent="0.25">
      <c r="A274" s="68"/>
    </row>
    <row r="277" spans="1:1" x14ac:dyDescent="0.25">
      <c r="A277" s="68"/>
    </row>
    <row r="280" spans="1:1" x14ac:dyDescent="0.25">
      <c r="A280" s="68"/>
    </row>
    <row r="283" spans="1:1" x14ac:dyDescent="0.25">
      <c r="A283" s="68"/>
    </row>
    <row r="286" spans="1:1" x14ac:dyDescent="0.25">
      <c r="A286" s="68"/>
    </row>
    <row r="289" spans="1:1" x14ac:dyDescent="0.25">
      <c r="A289" s="68"/>
    </row>
    <row r="292" spans="1:1" x14ac:dyDescent="0.25">
      <c r="A292" s="68"/>
    </row>
    <row r="295" spans="1:1" x14ac:dyDescent="0.25">
      <c r="A295" s="68"/>
    </row>
  </sheetData>
  <conditionalFormatting sqref="B2:B87">
    <cfRule type="duplicateValues" dxfId="24" priority="26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1216-E92C-4F41-AA64-135AC78A253F}">
  <dimension ref="A1:N1048576"/>
  <sheetViews>
    <sheetView topLeftCell="A190" workbookViewId="0">
      <selection activeCell="I199" sqref="I199"/>
    </sheetView>
  </sheetViews>
  <sheetFormatPr defaultColWidth="8.85546875" defaultRowHeight="15" x14ac:dyDescent="0.25"/>
  <cols>
    <col min="1" max="1" width="49.42578125" bestFit="1" customWidth="1"/>
    <col min="2" max="2" width="33.42578125" bestFit="1" customWidth="1"/>
    <col min="3" max="3" width="7.42578125" bestFit="1" customWidth="1"/>
    <col min="4" max="4" width="6.7109375" bestFit="1" customWidth="1"/>
    <col min="5" max="5" width="6.7109375" customWidth="1"/>
    <col min="6" max="6" width="10.85546875" bestFit="1" customWidth="1"/>
    <col min="7" max="7" width="15.85546875" bestFit="1" customWidth="1"/>
    <col min="8" max="8" width="56" customWidth="1"/>
    <col min="9" max="9" width="15.85546875" bestFit="1" customWidth="1"/>
    <col min="10" max="10" width="11.5703125" bestFit="1" customWidth="1"/>
    <col min="12" max="12" width="3.7109375" customWidth="1"/>
  </cols>
  <sheetData>
    <row r="1" spans="1:14" x14ac:dyDescent="0.25">
      <c r="A1" t="s">
        <v>67</v>
      </c>
      <c r="B1" t="s">
        <v>68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  <c r="I1" t="s">
        <v>592</v>
      </c>
      <c r="J1" t="s">
        <v>621</v>
      </c>
      <c r="M1" t="s">
        <v>622</v>
      </c>
      <c r="N1" t="s">
        <v>623</v>
      </c>
    </row>
    <row r="2" spans="1:14" x14ac:dyDescent="0.25">
      <c r="A2" t="s">
        <v>224</v>
      </c>
      <c r="B2" s="25" t="str">
        <f>IFERROR(VLOOKUP(tbEquipe[[#This Row],[Nome]],tbFOPAG[[Nome]:[Cargo]],2,0),"&lt;Selecionar Nome&gt;")</f>
        <v>GERENTE DE PROJETOS SR</v>
      </c>
      <c r="C2" t="s">
        <v>45</v>
      </c>
      <c r="D2">
        <v>1</v>
      </c>
      <c r="E2">
        <f>176*tbEquipe[[#This Row],[Alocação]]</f>
        <v>23.466666666666665</v>
      </c>
      <c r="F2" s="338">
        <v>0.13333333333333333</v>
      </c>
      <c r="G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5975.6533001718517</v>
      </c>
      <c r="H2" s="1"/>
      <c r="I2" s="1"/>
    </row>
    <row r="3" spans="1:14" x14ac:dyDescent="0.25">
      <c r="A3" t="s">
        <v>224</v>
      </c>
      <c r="B3" s="25" t="str">
        <f>IFERROR(VLOOKUP(tbEquipe[[#This Row],[Nome]],tbFOPAG[[Nome]:[Cargo]],2,0),"&lt;Selecionar Nome&gt;")</f>
        <v>GERENTE DE PROJETOS SR</v>
      </c>
      <c r="C3" t="s">
        <v>45</v>
      </c>
      <c r="D3">
        <v>2</v>
      </c>
      <c r="E3">
        <f>176*tbEquipe[[#This Row],[Alocação]]</f>
        <v>23.466666666666665</v>
      </c>
      <c r="F3" s="338">
        <v>0.13333333333333333</v>
      </c>
      <c r="G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3" s="1"/>
    </row>
    <row r="4" spans="1:14" x14ac:dyDescent="0.25">
      <c r="A4" t="s">
        <v>224</v>
      </c>
      <c r="B4" s="25" t="str">
        <f>IFERROR(VLOOKUP(tbEquipe[[#This Row],[Nome]],tbFOPAG[[Nome]:[Cargo]],2,0),"&lt;Selecionar Nome&gt;")</f>
        <v>GERENTE DE PROJETOS SR</v>
      </c>
      <c r="C4" t="s">
        <v>45</v>
      </c>
      <c r="D4">
        <v>3</v>
      </c>
      <c r="E4">
        <f>176*tbEquipe[[#This Row],[Alocação]]</f>
        <v>23.466666666666665</v>
      </c>
      <c r="F4" s="338">
        <v>0.13333333333333333</v>
      </c>
      <c r="G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4" s="1"/>
      <c r="J4" s="1"/>
    </row>
    <row r="5" spans="1:14" x14ac:dyDescent="0.25">
      <c r="A5" t="s">
        <v>224</v>
      </c>
      <c r="B5" s="25" t="str">
        <f>IFERROR(VLOOKUP(tbEquipe[[#This Row],[Nome]],tbFOPAG[[Nome]:[Cargo]],2,0),"&lt;Selecionar Nome&gt;")</f>
        <v>GERENTE DE PROJETOS SR</v>
      </c>
      <c r="C5" t="s">
        <v>45</v>
      </c>
      <c r="D5">
        <v>4</v>
      </c>
      <c r="E5">
        <f>176*tbEquipe[[#This Row],[Alocação]]</f>
        <v>23.466666666666665</v>
      </c>
      <c r="F5" s="338">
        <v>0.13333333333333333</v>
      </c>
      <c r="G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5" s="1"/>
    </row>
    <row r="6" spans="1:14" x14ac:dyDescent="0.25">
      <c r="A6" t="s">
        <v>224</v>
      </c>
      <c r="B6" s="25" t="str">
        <f>IFERROR(VLOOKUP(tbEquipe[[#This Row],[Nome]],tbFOPAG[[Nome]:[Cargo]],2,0),"&lt;Selecionar Nome&gt;")</f>
        <v>GERENTE DE PROJETOS SR</v>
      </c>
      <c r="C6" t="s">
        <v>45</v>
      </c>
      <c r="D6">
        <v>5</v>
      </c>
      <c r="E6">
        <f>176*tbEquipe[[#This Row],[Alocação]]</f>
        <v>23.466666666666665</v>
      </c>
      <c r="F6" s="338">
        <v>0.13333333333333333</v>
      </c>
      <c r="G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6" s="1"/>
    </row>
    <row r="7" spans="1:14" x14ac:dyDescent="0.25">
      <c r="A7" t="s">
        <v>224</v>
      </c>
      <c r="B7" s="25" t="str">
        <f>IFERROR(VLOOKUP(tbEquipe[[#This Row],[Nome]],tbFOPAG[[Nome]:[Cargo]],2,0),"&lt;Selecionar Nome&gt;")</f>
        <v>GERENTE DE PROJETOS SR</v>
      </c>
      <c r="C7" t="s">
        <v>45</v>
      </c>
      <c r="D7">
        <v>6</v>
      </c>
      <c r="E7">
        <f>176*tbEquipe[[#This Row],[Alocação]]</f>
        <v>23.466666666666665</v>
      </c>
      <c r="F7" s="338">
        <v>0.13333333333333333</v>
      </c>
      <c r="G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7" s="1"/>
      <c r="J7" s="176"/>
    </row>
    <row r="8" spans="1:14" x14ac:dyDescent="0.25">
      <c r="A8" t="s">
        <v>224</v>
      </c>
      <c r="B8" s="25" t="str">
        <f>IFERROR(VLOOKUP(tbEquipe[[#This Row],[Nome]],tbFOPAG[[Nome]:[Cargo]],2,0),"&lt;Selecionar Nome&gt;")</f>
        <v>GERENTE DE PROJETOS SR</v>
      </c>
      <c r="C8" t="s">
        <v>45</v>
      </c>
      <c r="D8">
        <v>7</v>
      </c>
      <c r="E8">
        <f>176*tbEquipe[[#This Row],[Alocação]]</f>
        <v>23.466666666666665</v>
      </c>
      <c r="F8" s="338">
        <v>0.13333333333333333</v>
      </c>
      <c r="G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8" s="1"/>
      <c r="J8" s="176"/>
    </row>
    <row r="9" spans="1:14" x14ac:dyDescent="0.25">
      <c r="A9" t="s">
        <v>224</v>
      </c>
      <c r="B9" s="25" t="str">
        <f>IFERROR(VLOOKUP(tbEquipe[[#This Row],[Nome]],tbFOPAG[[Nome]:[Cargo]],2,0),"&lt;Selecionar Nome&gt;")</f>
        <v>GERENTE DE PROJETOS SR</v>
      </c>
      <c r="C9" t="s">
        <v>45</v>
      </c>
      <c r="D9">
        <v>8</v>
      </c>
      <c r="E9">
        <f>176*tbEquipe[[#This Row],[Alocação]]</f>
        <v>23.466666666666665</v>
      </c>
      <c r="F9" s="338">
        <v>0.13333333333333333</v>
      </c>
      <c r="G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9" s="1"/>
      <c r="I9" s="1">
        <f>SUM(G2:G9)</f>
        <v>49968.734120780333</v>
      </c>
      <c r="J9" s="333">
        <f>SUM(F2:F9)</f>
        <v>1.0666666666666667</v>
      </c>
      <c r="K9" s="335">
        <f>J9/12</f>
        <v>8.8888888888888892E-2</v>
      </c>
      <c r="M9" s="176">
        <v>1.5999999999999999</v>
      </c>
      <c r="N9" s="335">
        <v>0.13333333333333333</v>
      </c>
    </row>
    <row r="10" spans="1:14" x14ac:dyDescent="0.25">
      <c r="A10" t="s">
        <v>224</v>
      </c>
      <c r="B10" s="25" t="str">
        <f>IFERROR(VLOOKUP(tbEquipe[[#This Row],[Nome]],tbFOPAG[[Nome]:[Cargo]],2,0),"&lt;Selecionar Nome&gt;")</f>
        <v>GERENTE DE PROJETOS SR</v>
      </c>
      <c r="C10" t="s">
        <v>45</v>
      </c>
      <c r="D10">
        <v>9</v>
      </c>
      <c r="E10">
        <f>176*tbEquipe[[#This Row],[Alocação]]</f>
        <v>23.466666666666665</v>
      </c>
      <c r="F10" s="338">
        <v>0.13333333333333333</v>
      </c>
      <c r="G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10" s="1"/>
      <c r="J10" s="176"/>
      <c r="M10" s="192"/>
    </row>
    <row r="11" spans="1:14" x14ac:dyDescent="0.25">
      <c r="A11" t="s">
        <v>224</v>
      </c>
      <c r="B11" s="25" t="str">
        <f>IFERROR(VLOOKUP(tbEquipe[[#This Row],[Nome]],tbFOPAG[[Nome]:[Cargo]],2,0),"&lt;Selecionar Nome&gt;")</f>
        <v>GERENTE DE PROJETOS SR</v>
      </c>
      <c r="C11" t="s">
        <v>45</v>
      </c>
      <c r="D11">
        <v>10</v>
      </c>
      <c r="E11">
        <f>176*tbEquipe[[#This Row],[Alocação]]</f>
        <v>23.466666666666665</v>
      </c>
      <c r="F11" s="338">
        <v>0.13333333333333333</v>
      </c>
      <c r="G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11" s="1"/>
      <c r="J11" s="176"/>
      <c r="M11" s="192"/>
    </row>
    <row r="12" spans="1:14" x14ac:dyDescent="0.25">
      <c r="A12" t="s">
        <v>224</v>
      </c>
      <c r="B12" s="25" t="str">
        <f>IFERROR(VLOOKUP(tbEquipe[[#This Row],[Nome]],tbFOPAG[[Nome]:[Cargo]],2,0),"&lt;Selecionar Nome&gt;")</f>
        <v>GERENTE DE PROJETOS SR</v>
      </c>
      <c r="C12" t="s">
        <v>45</v>
      </c>
      <c r="D12">
        <v>11</v>
      </c>
      <c r="E12">
        <f>176*tbEquipe[[#This Row],[Alocação]]</f>
        <v>23.466666666666665</v>
      </c>
      <c r="F12" s="338">
        <v>0.13333333333333333</v>
      </c>
      <c r="G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12" s="1"/>
      <c r="J12" s="176"/>
      <c r="M12" s="192"/>
    </row>
    <row r="13" spans="1:14" x14ac:dyDescent="0.25">
      <c r="A13" t="s">
        <v>224</v>
      </c>
      <c r="B13" s="25" t="str">
        <f>IFERROR(VLOOKUP(tbEquipe[[#This Row],[Nome]],tbFOPAG[[Nome]:[Cargo]],2,0),"&lt;Selecionar Nome&gt;")</f>
        <v>GERENTE DE PROJETOS SR</v>
      </c>
      <c r="C13" t="s">
        <v>45</v>
      </c>
      <c r="D13">
        <v>12</v>
      </c>
      <c r="E13">
        <f>176*tbEquipe[[#This Row],[Alocação]]</f>
        <v>23.466666666666665</v>
      </c>
      <c r="F13" s="338">
        <v>0.13333333333333333</v>
      </c>
      <c r="G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6284.7258315154959</v>
      </c>
      <c r="H13" s="1"/>
      <c r="J13" s="176"/>
      <c r="M13" s="192"/>
    </row>
    <row r="14" spans="1:14" x14ac:dyDescent="0.25">
      <c r="A14" t="s">
        <v>224</v>
      </c>
      <c r="B14" s="25" t="str">
        <f>IFERROR(VLOOKUP(tbEquipe[[#This Row],[Nome]],tbFOPAG[[Nome]:[Cargo]],2,0),"&lt;Selecionar Nome&gt;")</f>
        <v>GERENTE DE PROJETOS SR</v>
      </c>
      <c r="C14" t="s">
        <v>45</v>
      </c>
      <c r="D14">
        <v>13</v>
      </c>
      <c r="E14">
        <f>176*tbEquipe[[#This Row],[Alocação]]</f>
        <v>8.8000000000000007</v>
      </c>
      <c r="F14" s="34">
        <v>0.05</v>
      </c>
      <c r="G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2356.7721868183116</v>
      </c>
      <c r="H14" s="1"/>
      <c r="I14" s="1"/>
      <c r="J14" s="176"/>
      <c r="M14" s="192"/>
    </row>
    <row r="15" spans="1:14" x14ac:dyDescent="0.25">
      <c r="A15" t="s">
        <v>224</v>
      </c>
      <c r="B15" s="25" t="str">
        <f>IFERROR(VLOOKUP(tbEquipe[[#This Row],[Nome]],tbFOPAG[[Nome]:[Cargo]],2,0),"&lt;Selecionar Nome&gt;")</f>
        <v>GERENTE DE PROJETOS SR</v>
      </c>
      <c r="C15" t="s">
        <v>45</v>
      </c>
      <c r="D15">
        <v>14</v>
      </c>
      <c r="E15">
        <f>176*tbEquipe[[#This Row],[Alocação]]</f>
        <v>8.8000000000000007</v>
      </c>
      <c r="F15" s="34">
        <v>0.05</v>
      </c>
      <c r="G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2498.1785180274105</v>
      </c>
      <c r="H15" s="1"/>
      <c r="I15" s="1"/>
      <c r="J15" s="176"/>
      <c r="M15" s="192"/>
    </row>
    <row r="16" spans="1:14" x14ac:dyDescent="0.25">
      <c r="A16" t="s">
        <v>224</v>
      </c>
      <c r="B16" s="25" t="str">
        <f>IFERROR(VLOOKUP(tbEquipe[[#This Row],[Nome]],tbFOPAG[[Nome]:[Cargo]],2,0),"&lt;Selecionar Nome&gt;")</f>
        <v>GERENTE DE PROJETOS SR</v>
      </c>
      <c r="C16" t="s">
        <v>45</v>
      </c>
      <c r="D16">
        <v>15</v>
      </c>
      <c r="E16">
        <f>176*tbEquipe[[#This Row],[Alocação]]</f>
        <v>8.8000000000000007</v>
      </c>
      <c r="F16" s="34">
        <v>0.05</v>
      </c>
      <c r="G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2498.1785180274105</v>
      </c>
      <c r="H16" s="1"/>
      <c r="I16" s="1">
        <f>SUM(G2:G16)</f>
        <v>82460.766669715464</v>
      </c>
      <c r="J16" s="176"/>
      <c r="M16" s="192"/>
    </row>
    <row r="17" spans="1:14" x14ac:dyDescent="0.25">
      <c r="A17" t="s">
        <v>232</v>
      </c>
      <c r="B17" s="25" t="str">
        <f>IFERROR(VLOOKUP(tbEquipe[[#This Row],[Nome]],tbFOPAG[[Nome]:[Cargo]],2,0),"&lt;Selecionar Nome&gt;")</f>
        <v xml:space="preserve">LÍDER DE PROJETOS </v>
      </c>
      <c r="C17" t="s">
        <v>45</v>
      </c>
      <c r="D17">
        <v>1</v>
      </c>
      <c r="E17">
        <f>176*tbEquipe[[#This Row],[Alocação]]</f>
        <v>23.466666666666665</v>
      </c>
      <c r="F17" s="338">
        <v>0.13333333333333333</v>
      </c>
      <c r="G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3175.4269965710218</v>
      </c>
      <c r="H17" s="1"/>
      <c r="J17" s="176"/>
      <c r="M17" s="192"/>
    </row>
    <row r="18" spans="1:14" x14ac:dyDescent="0.25">
      <c r="A18" t="s">
        <v>232</v>
      </c>
      <c r="B18" s="25" t="str">
        <f>IFERROR(VLOOKUP(tbEquipe[[#This Row],[Nome]],tbFOPAG[[Nome]:[Cargo]],2,0),"&lt;Selecionar Nome&gt;")</f>
        <v xml:space="preserve">LÍDER DE PROJETOS </v>
      </c>
      <c r="C18" t="s">
        <v>45</v>
      </c>
      <c r="D18">
        <v>2</v>
      </c>
      <c r="E18">
        <f>176*tbEquipe[[#This Row],[Alocação]]</f>
        <v>23.466666666666665</v>
      </c>
      <c r="F18" s="338">
        <v>0.13333333333333333</v>
      </c>
      <c r="G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18" s="1"/>
    </row>
    <row r="19" spans="1:14" x14ac:dyDescent="0.25">
      <c r="A19" t="s">
        <v>232</v>
      </c>
      <c r="B19" s="25" t="str">
        <f>IFERROR(VLOOKUP(tbEquipe[[#This Row],[Nome]],tbFOPAG[[Nome]:[Cargo]],2,0),"&lt;Selecionar Nome&gt;")</f>
        <v xml:space="preserve">LÍDER DE PROJETOS </v>
      </c>
      <c r="C19" t="s">
        <v>45</v>
      </c>
      <c r="D19">
        <v>3</v>
      </c>
      <c r="E19">
        <f>176*tbEquipe[[#This Row],[Alocação]]</f>
        <v>23.466666666666665</v>
      </c>
      <c r="F19" s="338">
        <v>0.13333333333333333</v>
      </c>
      <c r="G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19" s="1"/>
    </row>
    <row r="20" spans="1:14" x14ac:dyDescent="0.25">
      <c r="A20" t="s">
        <v>232</v>
      </c>
      <c r="B20" s="25" t="str">
        <f>IFERROR(VLOOKUP(tbEquipe[[#This Row],[Nome]],tbFOPAG[[Nome]:[Cargo]],2,0),"&lt;Selecionar Nome&gt;")</f>
        <v xml:space="preserve">LÍDER DE PROJETOS </v>
      </c>
      <c r="C20" t="s">
        <v>45</v>
      </c>
      <c r="D20">
        <v>4</v>
      </c>
      <c r="E20">
        <f>176*tbEquipe[[#This Row],[Alocação]]</f>
        <v>23.466666666666665</v>
      </c>
      <c r="F20" s="338">
        <v>0.13333333333333333</v>
      </c>
      <c r="G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0" s="1"/>
    </row>
    <row r="21" spans="1:14" x14ac:dyDescent="0.25">
      <c r="A21" t="s">
        <v>232</v>
      </c>
      <c r="B21" s="25" t="str">
        <f>IFERROR(VLOOKUP(tbEquipe[[#This Row],[Nome]],tbFOPAG[[Nome]:[Cargo]],2,0),"&lt;Selecionar Nome&gt;")</f>
        <v xml:space="preserve">LÍDER DE PROJETOS </v>
      </c>
      <c r="C21" t="s">
        <v>45</v>
      </c>
      <c r="D21">
        <v>5</v>
      </c>
      <c r="E21">
        <f>176*tbEquipe[[#This Row],[Alocação]]</f>
        <v>23.466666666666665</v>
      </c>
      <c r="F21" s="338">
        <v>0.13333333333333333</v>
      </c>
      <c r="G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1" s="1"/>
    </row>
    <row r="22" spans="1:14" x14ac:dyDescent="0.25">
      <c r="A22" t="s">
        <v>232</v>
      </c>
      <c r="B22" s="25" t="str">
        <f>IFERROR(VLOOKUP(tbEquipe[[#This Row],[Nome]],tbFOPAG[[Nome]:[Cargo]],2,0),"&lt;Selecionar Nome&gt;")</f>
        <v xml:space="preserve">LÍDER DE PROJETOS </v>
      </c>
      <c r="C22" t="s">
        <v>45</v>
      </c>
      <c r="D22">
        <v>6</v>
      </c>
      <c r="E22">
        <f>176*tbEquipe[[#This Row],[Alocação]]</f>
        <v>23.466666666666665</v>
      </c>
      <c r="F22" s="338">
        <v>0.13333333333333333</v>
      </c>
      <c r="G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2" s="1"/>
    </row>
    <row r="23" spans="1:14" x14ac:dyDescent="0.25">
      <c r="A23" t="s">
        <v>232</v>
      </c>
      <c r="B23" s="25" t="str">
        <f>IFERROR(VLOOKUP(tbEquipe[[#This Row],[Nome]],tbFOPAG[[Nome]:[Cargo]],2,0),"&lt;Selecionar Nome&gt;")</f>
        <v xml:space="preserve">LÍDER DE PROJETOS </v>
      </c>
      <c r="C23" t="s">
        <v>45</v>
      </c>
      <c r="D23">
        <v>7</v>
      </c>
      <c r="E23">
        <f>176*tbEquipe[[#This Row],[Alocação]]</f>
        <v>23.466666666666665</v>
      </c>
      <c r="F23" s="338">
        <v>0.13333333333333333</v>
      </c>
      <c r="G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3" s="1"/>
      <c r="J23" s="176"/>
      <c r="M23" s="192"/>
    </row>
    <row r="24" spans="1:14" x14ac:dyDescent="0.25">
      <c r="A24" t="s">
        <v>232</v>
      </c>
      <c r="B24" s="25" t="str">
        <f>IFERROR(VLOOKUP(tbEquipe[[#This Row],[Nome]],tbFOPAG[[Nome]:[Cargo]],2,0),"&lt;Selecionar Nome&gt;")</f>
        <v xml:space="preserve">LÍDER DE PROJETOS </v>
      </c>
      <c r="C24" t="s">
        <v>45</v>
      </c>
      <c r="D24">
        <v>8</v>
      </c>
      <c r="E24">
        <f>176*tbEquipe[[#This Row],[Alocação]]</f>
        <v>23.466666666666665</v>
      </c>
      <c r="F24" s="338">
        <v>0.13333333333333333</v>
      </c>
      <c r="G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4" s="1"/>
      <c r="I24" s="1">
        <f>SUM(G17:G24)</f>
        <v>26390.82864446134</v>
      </c>
      <c r="J24" s="333">
        <f>SUM(F17:F24)</f>
        <v>1.0666666666666667</v>
      </c>
      <c r="K24" s="335">
        <f>J24/12</f>
        <v>8.8888888888888892E-2</v>
      </c>
      <c r="M24" s="192">
        <v>1.5999999999999999</v>
      </c>
      <c r="N24" s="335">
        <v>0.13333333333333333</v>
      </c>
    </row>
    <row r="25" spans="1:14" x14ac:dyDescent="0.25">
      <c r="A25" t="s">
        <v>232</v>
      </c>
      <c r="B25" s="25" t="str">
        <f>IFERROR(VLOOKUP(tbEquipe[[#This Row],[Nome]],tbFOPAG[[Nome]:[Cargo]],2,0),"&lt;Selecionar Nome&gt;")</f>
        <v xml:space="preserve">LÍDER DE PROJETOS </v>
      </c>
      <c r="C25" t="s">
        <v>45</v>
      </c>
      <c r="D25">
        <v>9</v>
      </c>
      <c r="E25">
        <f>176*tbEquipe[[#This Row],[Alocação]]</f>
        <v>23.466666666666665</v>
      </c>
      <c r="F25" s="338">
        <v>0.13333333333333333</v>
      </c>
      <c r="G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5" s="1"/>
      <c r="J25" s="176"/>
      <c r="M25" s="192"/>
    </row>
    <row r="26" spans="1:14" x14ac:dyDescent="0.25">
      <c r="A26" t="s">
        <v>232</v>
      </c>
      <c r="B26" s="25" t="str">
        <f>IFERROR(VLOOKUP(tbEquipe[[#This Row],[Nome]],tbFOPAG[[Nome]:[Cargo]],2,0),"&lt;Selecionar Nome&gt;")</f>
        <v xml:space="preserve">LÍDER DE PROJETOS </v>
      </c>
      <c r="C26" t="s">
        <v>45</v>
      </c>
      <c r="D26">
        <v>10</v>
      </c>
      <c r="E26">
        <f>176*tbEquipe[[#This Row],[Alocação]]</f>
        <v>23.466666666666665</v>
      </c>
      <c r="F26" s="338">
        <v>0.13333333333333333</v>
      </c>
      <c r="G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6" s="1"/>
      <c r="J26" s="176"/>
      <c r="M26" s="192"/>
    </row>
    <row r="27" spans="1:14" x14ac:dyDescent="0.25">
      <c r="A27" t="s">
        <v>232</v>
      </c>
      <c r="B27" s="25" t="str">
        <f>IFERROR(VLOOKUP(tbEquipe[[#This Row],[Nome]],tbFOPAG[[Nome]:[Cargo]],2,0),"&lt;Selecionar Nome&gt;")</f>
        <v xml:space="preserve">LÍDER DE PROJETOS </v>
      </c>
      <c r="C27" t="s">
        <v>45</v>
      </c>
      <c r="D27">
        <v>11</v>
      </c>
      <c r="E27">
        <f>176*tbEquipe[[#This Row],[Alocação]]</f>
        <v>23.466666666666665</v>
      </c>
      <c r="F27" s="338">
        <v>0.13333333333333333</v>
      </c>
      <c r="G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7" s="1"/>
      <c r="J27" s="176"/>
      <c r="M27" s="192"/>
    </row>
    <row r="28" spans="1:14" x14ac:dyDescent="0.25">
      <c r="A28" t="s">
        <v>232</v>
      </c>
      <c r="B28" s="25" t="str">
        <f>IFERROR(VLOOKUP(tbEquipe[[#This Row],[Nome]],tbFOPAG[[Nome]:[Cargo]],2,0),"&lt;Selecionar Nome&gt;")</f>
        <v xml:space="preserve">LÍDER DE PROJETOS </v>
      </c>
      <c r="C28" t="s">
        <v>45</v>
      </c>
      <c r="D28">
        <v>12</v>
      </c>
      <c r="E28">
        <f>176*tbEquipe[[#This Row],[Alocação]]</f>
        <v>23.466666666666665</v>
      </c>
      <c r="F28" s="338">
        <v>0.13333333333333333</v>
      </c>
      <c r="G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3316.4859496986169</v>
      </c>
      <c r="H28" s="1"/>
      <c r="I28" s="1"/>
      <c r="J28" s="176"/>
      <c r="M28" s="192"/>
    </row>
    <row r="29" spans="1:14" x14ac:dyDescent="0.25">
      <c r="A29" t="s">
        <v>232</v>
      </c>
      <c r="B29" s="25" t="str">
        <f>IFERROR(VLOOKUP(tbEquipe[[#This Row],[Nome]],tbFOPAG[[Nome]:[Cargo]],2,0),"&lt;Selecionar Nome&gt;")</f>
        <v xml:space="preserve">LÍDER DE PROJETOS </v>
      </c>
      <c r="C29" t="s">
        <v>45</v>
      </c>
      <c r="D29">
        <v>13</v>
      </c>
      <c r="E29">
        <f>176*tbEquipe[[#This Row],[Alocação]]</f>
        <v>8.8000000000000007</v>
      </c>
      <c r="F29" s="34">
        <v>0.05</v>
      </c>
      <c r="G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1243.6822311369813</v>
      </c>
      <c r="H29" s="1"/>
      <c r="I29" s="1"/>
      <c r="J29" s="176"/>
      <c r="M29" s="192"/>
    </row>
    <row r="30" spans="1:14" x14ac:dyDescent="0.25">
      <c r="A30" t="s">
        <v>232</v>
      </c>
      <c r="B30" s="25" t="str">
        <f>IFERROR(VLOOKUP(tbEquipe[[#This Row],[Nome]],tbFOPAG[[Nome]:[Cargo]],2,0),"&lt;Selecionar Nome&gt;")</f>
        <v xml:space="preserve">LÍDER DE PROJETOS </v>
      </c>
      <c r="C30" t="s">
        <v>45</v>
      </c>
      <c r="D30">
        <v>14</v>
      </c>
      <c r="E30">
        <f>176*tbEquipe[[#This Row],[Alocação]]</f>
        <v>8.8000000000000007</v>
      </c>
      <c r="F30" s="34">
        <v>0.05</v>
      </c>
      <c r="G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1318.3031650052003</v>
      </c>
      <c r="H30" s="1"/>
      <c r="I30" s="1"/>
      <c r="J30" s="176"/>
      <c r="M30" s="192"/>
    </row>
    <row r="31" spans="1:14" x14ac:dyDescent="0.25">
      <c r="A31" t="s">
        <v>232</v>
      </c>
      <c r="B31" s="25" t="str">
        <f>IFERROR(VLOOKUP(tbEquipe[[#This Row],[Nome]],tbFOPAG[[Nome]:[Cargo]],2,0),"&lt;Selecionar Nome&gt;")</f>
        <v xml:space="preserve">LÍDER DE PROJETOS </v>
      </c>
      <c r="C31" t="s">
        <v>45</v>
      </c>
      <c r="D31">
        <v>15</v>
      </c>
      <c r="E31">
        <f>176*tbEquipe[[#This Row],[Alocação]]</f>
        <v>8.8000000000000007</v>
      </c>
      <c r="F31" s="34">
        <v>0.05</v>
      </c>
      <c r="G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1318.3031650052003</v>
      </c>
      <c r="H31" s="1"/>
      <c r="I31" s="1">
        <f>SUM(G17:G31)</f>
        <v>43537.061004403193</v>
      </c>
      <c r="J31" s="176"/>
      <c r="M31" s="192"/>
    </row>
    <row r="32" spans="1:14" x14ac:dyDescent="0.25">
      <c r="A32" t="s">
        <v>88</v>
      </c>
      <c r="B32" s="25" t="str">
        <f>IFERROR(VLOOKUP(tbEquipe[[#This Row],[Nome]],tbFOPAG[[Nome]:[Cargo]],2,0),"&lt;Selecionar Nome&gt;")</f>
        <v>ANALISTA DE NEGOCIOS SR</v>
      </c>
      <c r="C32" t="s">
        <v>45</v>
      </c>
      <c r="D32">
        <v>1</v>
      </c>
      <c r="E32">
        <f>176*tbEquipe[[#This Row],[Alocação]]</f>
        <v>38.72</v>
      </c>
      <c r="F32" s="338">
        <v>0.22</v>
      </c>
      <c r="G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3863.9107681777778</v>
      </c>
      <c r="H32" s="1"/>
    </row>
    <row r="33" spans="1:14" x14ac:dyDescent="0.25">
      <c r="A33" t="s">
        <v>88</v>
      </c>
      <c r="B33" s="25" t="str">
        <f>IFERROR(VLOOKUP(tbEquipe[[#This Row],[Nome]],tbFOPAG[[Nome]:[Cargo]],2,0),"&lt;Selecionar Nome&gt;")</f>
        <v>ANALISTA DE NEGOCIOS SR</v>
      </c>
      <c r="C33" t="s">
        <v>45</v>
      </c>
      <c r="D33">
        <v>2</v>
      </c>
      <c r="E33">
        <f>176*tbEquipe[[#This Row],[Alocação]]</f>
        <v>38.72</v>
      </c>
      <c r="F33" s="338">
        <v>0.22</v>
      </c>
      <c r="G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3" s="1"/>
    </row>
    <row r="34" spans="1:14" x14ac:dyDescent="0.25">
      <c r="A34" t="s">
        <v>88</v>
      </c>
      <c r="B34" s="25" t="str">
        <f>IFERROR(VLOOKUP(tbEquipe[[#This Row],[Nome]],tbFOPAG[[Nome]:[Cargo]],2,0),"&lt;Selecionar Nome&gt;")</f>
        <v>ANALISTA DE NEGOCIOS SR</v>
      </c>
      <c r="C34" t="s">
        <v>45</v>
      </c>
      <c r="D34">
        <v>3</v>
      </c>
      <c r="E34">
        <f>176*tbEquipe[[#This Row],[Alocação]]</f>
        <v>38.72</v>
      </c>
      <c r="F34" s="338">
        <v>0.22</v>
      </c>
      <c r="G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4" s="1"/>
    </row>
    <row r="35" spans="1:14" x14ac:dyDescent="0.25">
      <c r="A35" t="s">
        <v>88</v>
      </c>
      <c r="B35" s="25" t="str">
        <f>IFERROR(VLOOKUP(tbEquipe[[#This Row],[Nome]],tbFOPAG[[Nome]:[Cargo]],2,0),"&lt;Selecionar Nome&gt;")</f>
        <v>ANALISTA DE NEGOCIOS SR</v>
      </c>
      <c r="C35" t="s">
        <v>45</v>
      </c>
      <c r="D35">
        <v>4</v>
      </c>
      <c r="E35">
        <f>176*tbEquipe[[#This Row],[Alocação]]</f>
        <v>38.72</v>
      </c>
      <c r="F35" s="338">
        <v>0.22</v>
      </c>
      <c r="G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5" s="1"/>
    </row>
    <row r="36" spans="1:14" x14ac:dyDescent="0.25">
      <c r="A36" t="s">
        <v>88</v>
      </c>
      <c r="B36" s="25" t="str">
        <f>IFERROR(VLOOKUP(tbEquipe[[#This Row],[Nome]],tbFOPAG[[Nome]:[Cargo]],2,0),"&lt;Selecionar Nome&gt;")</f>
        <v>ANALISTA DE NEGOCIOS SR</v>
      </c>
      <c r="C36" t="s">
        <v>45</v>
      </c>
      <c r="D36">
        <v>5</v>
      </c>
      <c r="E36">
        <f>176*tbEquipe[[#This Row],[Alocação]]</f>
        <v>38.72</v>
      </c>
      <c r="F36" s="338">
        <v>0.22</v>
      </c>
      <c r="G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6" s="1"/>
    </row>
    <row r="37" spans="1:14" x14ac:dyDescent="0.25">
      <c r="A37" t="s">
        <v>88</v>
      </c>
      <c r="B37" s="25" t="str">
        <f>IFERROR(VLOOKUP(tbEquipe[[#This Row],[Nome]],tbFOPAG[[Nome]:[Cargo]],2,0),"&lt;Selecionar Nome&gt;")</f>
        <v>ANALISTA DE NEGOCIOS SR</v>
      </c>
      <c r="C37" t="s">
        <v>45</v>
      </c>
      <c r="D37">
        <v>6</v>
      </c>
      <c r="E37">
        <f>176*tbEquipe[[#This Row],[Alocação]]</f>
        <v>38.72</v>
      </c>
      <c r="F37" s="338">
        <v>0.22</v>
      </c>
      <c r="G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7" s="1"/>
      <c r="J37" s="192"/>
      <c r="M37" s="192"/>
    </row>
    <row r="38" spans="1:14" x14ac:dyDescent="0.25">
      <c r="A38" t="s">
        <v>88</v>
      </c>
      <c r="B38" s="25" t="str">
        <f>IFERROR(VLOOKUP(tbEquipe[[#This Row],[Nome]],tbFOPAG[[Nome]:[Cargo]],2,0),"&lt;Selecionar Nome&gt;")</f>
        <v>ANALISTA DE NEGOCIOS SR</v>
      </c>
      <c r="C38" t="s">
        <v>45</v>
      </c>
      <c r="D38">
        <v>7</v>
      </c>
      <c r="E38">
        <f>176*tbEquipe[[#This Row],[Alocação]]</f>
        <v>38.72</v>
      </c>
      <c r="F38" s="338">
        <v>0.22</v>
      </c>
      <c r="G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8" s="1"/>
      <c r="J38" s="192"/>
      <c r="M38" s="192"/>
    </row>
    <row r="39" spans="1:14" x14ac:dyDescent="0.25">
      <c r="A39" t="s">
        <v>88</v>
      </c>
      <c r="B39" s="25" t="str">
        <f>IFERROR(VLOOKUP(tbEquipe[[#This Row],[Nome]],tbFOPAG[[Nome]:[Cargo]],2,0),"&lt;Selecionar Nome&gt;")</f>
        <v>ANALISTA DE NEGOCIOS SR</v>
      </c>
      <c r="C39" t="s">
        <v>45</v>
      </c>
      <c r="D39">
        <v>8</v>
      </c>
      <c r="E39">
        <f>176*tbEquipe[[#This Row],[Alocação]]</f>
        <v>38.72</v>
      </c>
      <c r="F39" s="338">
        <v>0.22</v>
      </c>
      <c r="G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39" s="1"/>
      <c r="I39" s="1">
        <f>SUM(G32:G39)</f>
        <v>31962.788668056892</v>
      </c>
      <c r="J39" s="333">
        <f>SUM(F32:F39)</f>
        <v>1.76</v>
      </c>
      <c r="K39" s="335">
        <f>J39/12</f>
        <v>0.14666666666666667</v>
      </c>
      <c r="M39" s="192">
        <v>2.64</v>
      </c>
      <c r="N39" s="335">
        <v>0.22</v>
      </c>
    </row>
    <row r="40" spans="1:14" x14ac:dyDescent="0.25">
      <c r="A40" t="s">
        <v>88</v>
      </c>
      <c r="B40" s="25" t="str">
        <f>IFERROR(VLOOKUP(tbEquipe[[#This Row],[Nome]],tbFOPAG[[Nome]:[Cargo]],2,0),"&lt;Selecionar Nome&gt;")</f>
        <v>ANALISTA DE NEGOCIOS SR</v>
      </c>
      <c r="C40" t="s">
        <v>45</v>
      </c>
      <c r="D40">
        <v>9</v>
      </c>
      <c r="E40">
        <f>176*tbEquipe[[#This Row],[Alocação]]</f>
        <v>38.72</v>
      </c>
      <c r="F40" s="338">
        <v>0.22</v>
      </c>
      <c r="G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40" s="1"/>
      <c r="J40" s="192"/>
      <c r="M40" s="192"/>
    </row>
    <row r="41" spans="1:14" x14ac:dyDescent="0.25">
      <c r="A41" t="s">
        <v>88</v>
      </c>
      <c r="B41" s="25" t="str">
        <f>IFERROR(VLOOKUP(tbEquipe[[#This Row],[Nome]],tbFOPAG[[Nome]:[Cargo]],2,0),"&lt;Selecionar Nome&gt;")</f>
        <v>ANALISTA DE NEGOCIOS SR</v>
      </c>
      <c r="C41" t="s">
        <v>45</v>
      </c>
      <c r="D41">
        <v>10</v>
      </c>
      <c r="E41">
        <f>176*tbEquipe[[#This Row],[Alocação]]</f>
        <v>38.72</v>
      </c>
      <c r="F41" s="338">
        <v>0.22</v>
      </c>
      <c r="G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41" s="1"/>
      <c r="J41" s="192"/>
      <c r="M41" s="192"/>
    </row>
    <row r="42" spans="1:14" x14ac:dyDescent="0.25">
      <c r="A42" t="s">
        <v>88</v>
      </c>
      <c r="B42" s="25" t="str">
        <f>IFERROR(VLOOKUP(tbEquipe[[#This Row],[Nome]],tbFOPAG[[Nome]:[Cargo]],2,0),"&lt;Selecionar Nome&gt;")</f>
        <v>ANALISTA DE NEGOCIOS SR</v>
      </c>
      <c r="C42" t="s">
        <v>45</v>
      </c>
      <c r="D42">
        <v>11</v>
      </c>
      <c r="E42">
        <f>176*tbEquipe[[#This Row],[Alocação]]</f>
        <v>38.72</v>
      </c>
      <c r="F42" s="338">
        <v>0.22</v>
      </c>
      <c r="G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42" s="1"/>
      <c r="J42" s="192"/>
      <c r="M42" s="192"/>
    </row>
    <row r="43" spans="1:14" x14ac:dyDescent="0.25">
      <c r="A43" t="s">
        <v>88</v>
      </c>
      <c r="B43" s="25" t="str">
        <f>IFERROR(VLOOKUP(tbEquipe[[#This Row],[Nome]],tbFOPAG[[Nome]:[Cargo]],2,0),"&lt;Selecionar Nome&gt;")</f>
        <v>ANALISTA DE NEGOCIOS SR</v>
      </c>
      <c r="C43" t="s">
        <v>45</v>
      </c>
      <c r="D43">
        <v>12</v>
      </c>
      <c r="E43">
        <f>176*tbEquipe[[#This Row],[Alocação]]</f>
        <v>38.72</v>
      </c>
      <c r="F43" s="338">
        <v>0.22</v>
      </c>
      <c r="G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4014.1254142684447</v>
      </c>
      <c r="H43" s="1"/>
      <c r="I43" s="1"/>
      <c r="J43" s="192"/>
      <c r="M43" s="192"/>
    </row>
    <row r="44" spans="1:14" x14ac:dyDescent="0.25">
      <c r="A44" t="s">
        <v>88</v>
      </c>
      <c r="B44" s="25" t="str">
        <f>IFERROR(VLOOKUP(tbEquipe[[#This Row],[Nome]],tbFOPAG[[Nome]:[Cargo]],2,0),"&lt;Selecionar Nome&gt;")</f>
        <v>ANALISTA DE NEGOCIOS SR</v>
      </c>
      <c r="C44" t="s">
        <v>45</v>
      </c>
      <c r="D44">
        <v>13</v>
      </c>
      <c r="E44">
        <f>176*tbEquipe[[#This Row],[Alocação]]</f>
        <v>17.600000000000001</v>
      </c>
      <c r="F44" s="34">
        <v>0.1</v>
      </c>
      <c r="G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1824.6024610311113</v>
      </c>
      <c r="H44" s="1"/>
      <c r="I44" s="1"/>
      <c r="J44" s="192"/>
      <c r="M44" s="192"/>
    </row>
    <row r="45" spans="1:14" x14ac:dyDescent="0.25">
      <c r="A45" t="s">
        <v>88</v>
      </c>
      <c r="B45" s="25" t="str">
        <f>IFERROR(VLOOKUP(tbEquipe[[#This Row],[Nome]],tbFOPAG[[Nome]:[Cargo]],2,0),"&lt;Selecionar Nome&gt;")</f>
        <v>ANALISTA DE NEGOCIOS SR</v>
      </c>
      <c r="C45" t="s">
        <v>45</v>
      </c>
      <c r="D45">
        <v>14</v>
      </c>
      <c r="E45">
        <f>176*tbEquipe[[#This Row],[Alocação]]</f>
        <v>17.600000000000001</v>
      </c>
      <c r="F45" s="34">
        <v>0.1</v>
      </c>
      <c r="G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1934.0786086929779</v>
      </c>
      <c r="H45" s="1"/>
      <c r="I45" s="1"/>
      <c r="J45" s="192"/>
      <c r="M45" s="192"/>
    </row>
    <row r="46" spans="1:14" x14ac:dyDescent="0.25">
      <c r="A46" t="s">
        <v>88</v>
      </c>
      <c r="B46" s="25" t="str">
        <f>IFERROR(VLOOKUP(tbEquipe[[#This Row],[Nome]],tbFOPAG[[Nome]:[Cargo]],2,0),"&lt;Selecionar Nome&gt;")</f>
        <v>ANALISTA DE NEGOCIOS SR</v>
      </c>
      <c r="C46" t="s">
        <v>45</v>
      </c>
      <c r="D46">
        <v>15</v>
      </c>
      <c r="E46">
        <f>176*tbEquipe[[#This Row],[Alocação]]</f>
        <v>17.600000000000001</v>
      </c>
      <c r="F46" s="34">
        <v>0.1</v>
      </c>
      <c r="G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1934.0786086929779</v>
      </c>
      <c r="H46" s="1"/>
      <c r="I46" s="1">
        <f>SUM(G32:G46)</f>
        <v>53712.05000354776</v>
      </c>
      <c r="J46" s="192"/>
      <c r="M46" s="192"/>
    </row>
    <row r="47" spans="1:14" x14ac:dyDescent="0.25">
      <c r="A47" s="68" t="s">
        <v>192</v>
      </c>
      <c r="B47" s="25" t="str">
        <f>IFERROR(VLOOKUP(tbEquipe[[#This Row],[Nome]],tbFOPAG[[Nome]:[Cargo]],2,0),"&lt;Selecionar Nome&gt;")</f>
        <v>ESPECIALISTA EM DEVOPS</v>
      </c>
      <c r="C47" t="s">
        <v>45</v>
      </c>
      <c r="D47">
        <v>1</v>
      </c>
      <c r="E47">
        <f>176*tbEquipe[[#This Row],[Alocação]]</f>
        <v>11.733333333333333</v>
      </c>
      <c r="F47" s="337">
        <v>6.6666666666666666E-2</v>
      </c>
      <c r="G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2273.4693333333335</v>
      </c>
      <c r="H47" s="1"/>
      <c r="J47" s="192"/>
      <c r="M47" s="192"/>
    </row>
    <row r="48" spans="1:14" x14ac:dyDescent="0.25">
      <c r="A48" s="68" t="s">
        <v>192</v>
      </c>
      <c r="B48" s="25" t="str">
        <f>IFERROR(VLOOKUP(tbEquipe[[#This Row],[Nome]],tbFOPAG[[Nome]:[Cargo]],2,0),"&lt;Selecionar Nome&gt;")</f>
        <v>ESPECIALISTA EM DEVOPS</v>
      </c>
      <c r="C48" t="s">
        <v>45</v>
      </c>
      <c r="D48">
        <v>2</v>
      </c>
      <c r="E48">
        <f>176*tbEquipe[[#This Row],[Alocação]]</f>
        <v>11.733333333333333</v>
      </c>
      <c r="F48" s="337">
        <v>6.6666666666666666E-2</v>
      </c>
      <c r="G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48" s="1"/>
      <c r="J48" s="192"/>
      <c r="M48" s="192"/>
    </row>
    <row r="49" spans="1:14" x14ac:dyDescent="0.25">
      <c r="A49" s="68" t="s">
        <v>192</v>
      </c>
      <c r="B49" s="25" t="str">
        <f>IFERROR(VLOOKUP(tbEquipe[[#This Row],[Nome]],tbFOPAG[[Nome]:[Cargo]],2,0),"&lt;Selecionar Nome&gt;")</f>
        <v>ESPECIALISTA EM DEVOPS</v>
      </c>
      <c r="C49" t="s">
        <v>45</v>
      </c>
      <c r="D49">
        <v>3</v>
      </c>
      <c r="E49">
        <f>176*tbEquipe[[#This Row],[Alocação]]</f>
        <v>11.733333333333333</v>
      </c>
      <c r="F49" s="337">
        <v>6.6666666666666666E-2</v>
      </c>
      <c r="G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49" s="1"/>
      <c r="J49" s="192"/>
      <c r="M49" s="192"/>
    </row>
    <row r="50" spans="1:14" x14ac:dyDescent="0.25">
      <c r="A50" s="68" t="s">
        <v>192</v>
      </c>
      <c r="B50" s="25" t="str">
        <f>IFERROR(VLOOKUP(tbEquipe[[#This Row],[Nome]],tbFOPAG[[Nome]:[Cargo]],2,0),"&lt;Selecionar Nome&gt;")</f>
        <v>ESPECIALISTA EM DEVOPS</v>
      </c>
      <c r="C50" t="s">
        <v>45</v>
      </c>
      <c r="D50">
        <v>4</v>
      </c>
      <c r="E50">
        <f>176*tbEquipe[[#This Row],[Alocação]]</f>
        <v>11.733333333333333</v>
      </c>
      <c r="F50" s="337">
        <v>6.6666666666666666E-2</v>
      </c>
      <c r="G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0" s="1"/>
      <c r="J50" s="192"/>
      <c r="M50" s="192"/>
    </row>
    <row r="51" spans="1:14" x14ac:dyDescent="0.25">
      <c r="A51" s="68" t="s">
        <v>192</v>
      </c>
      <c r="B51" s="25" t="str">
        <f>IFERROR(VLOOKUP(tbEquipe[[#This Row],[Nome]],tbFOPAG[[Nome]:[Cargo]],2,0),"&lt;Selecionar Nome&gt;")</f>
        <v>ESPECIALISTA EM DEVOPS</v>
      </c>
      <c r="C51" t="s">
        <v>45</v>
      </c>
      <c r="D51">
        <v>5</v>
      </c>
      <c r="E51">
        <f>176*tbEquipe[[#This Row],[Alocação]]</f>
        <v>11.733333333333333</v>
      </c>
      <c r="F51" s="337">
        <v>6.6666666666666666E-2</v>
      </c>
      <c r="G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1" s="1"/>
      <c r="J51" s="192"/>
      <c r="M51" s="192"/>
    </row>
    <row r="52" spans="1:14" x14ac:dyDescent="0.25">
      <c r="A52" s="68" t="s">
        <v>192</v>
      </c>
      <c r="B52" s="25" t="str">
        <f>IFERROR(VLOOKUP(tbEquipe[[#This Row],[Nome]],tbFOPAG[[Nome]:[Cargo]],2,0),"&lt;Selecionar Nome&gt;")</f>
        <v>ESPECIALISTA EM DEVOPS</v>
      </c>
      <c r="C52" t="s">
        <v>45</v>
      </c>
      <c r="D52">
        <v>6</v>
      </c>
      <c r="E52">
        <f>176*tbEquipe[[#This Row],[Alocação]]</f>
        <v>11.733333333333333</v>
      </c>
      <c r="F52" s="337">
        <v>6.6666666666666666E-2</v>
      </c>
      <c r="G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2" s="1"/>
      <c r="J52" s="192"/>
      <c r="M52" s="192"/>
    </row>
    <row r="53" spans="1:14" x14ac:dyDescent="0.25">
      <c r="A53" s="68" t="s">
        <v>192</v>
      </c>
      <c r="B53" s="25" t="str">
        <f>IFERROR(VLOOKUP(tbEquipe[[#This Row],[Nome]],tbFOPAG[[Nome]:[Cargo]],2,0),"&lt;Selecionar Nome&gt;")</f>
        <v>ESPECIALISTA EM DEVOPS</v>
      </c>
      <c r="C53" t="s">
        <v>45</v>
      </c>
      <c r="D53">
        <v>7</v>
      </c>
      <c r="E53">
        <f>176*tbEquipe[[#This Row],[Alocação]]</f>
        <v>11.733333333333333</v>
      </c>
      <c r="F53" s="337">
        <v>6.6666666666666666E-2</v>
      </c>
      <c r="G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3" s="1"/>
      <c r="J53" s="192"/>
      <c r="M53" s="192"/>
    </row>
    <row r="54" spans="1:14" x14ac:dyDescent="0.25">
      <c r="A54" s="68" t="s">
        <v>192</v>
      </c>
      <c r="B54" s="25" t="str">
        <f>IFERROR(VLOOKUP(tbEquipe[[#This Row],[Nome]],tbFOPAG[[Nome]:[Cargo]],2,0),"&lt;Selecionar Nome&gt;")</f>
        <v>ESPECIALISTA EM DEVOPS</v>
      </c>
      <c r="C54" t="s">
        <v>45</v>
      </c>
      <c r="D54">
        <v>8</v>
      </c>
      <c r="E54">
        <f>176*tbEquipe[[#This Row],[Alocação]]</f>
        <v>11.733333333333333</v>
      </c>
      <c r="F54" s="337">
        <v>6.6666666666666666E-2</v>
      </c>
      <c r="G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4" s="1"/>
      <c r="I54" s="1">
        <f>SUM(G47:G54)</f>
        <v>18969.478453333333</v>
      </c>
      <c r="J54" s="333">
        <f>SUM(F47:F54)</f>
        <v>0.53333333333333333</v>
      </c>
      <c r="K54" s="335">
        <f>J54/12</f>
        <v>4.4444444444444446E-2</v>
      </c>
      <c r="M54" s="192">
        <v>0.79999999999999993</v>
      </c>
      <c r="N54" s="335">
        <v>6.6666666666666666E-2</v>
      </c>
    </row>
    <row r="55" spans="1:14" x14ac:dyDescent="0.25">
      <c r="A55" s="68" t="s">
        <v>192</v>
      </c>
      <c r="B55" s="25" t="str">
        <f>IFERROR(VLOOKUP(tbEquipe[[#This Row],[Nome]],tbFOPAG[[Nome]:[Cargo]],2,0),"&lt;Selecionar Nome&gt;")</f>
        <v>ESPECIALISTA EM DEVOPS</v>
      </c>
      <c r="C55" t="s">
        <v>45</v>
      </c>
      <c r="D55">
        <v>9</v>
      </c>
      <c r="E55">
        <f>176*tbEquipe[[#This Row],[Alocação]]</f>
        <v>11.733333333333333</v>
      </c>
      <c r="F55" s="337">
        <v>6.6666666666666666E-2</v>
      </c>
      <c r="G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5" s="1"/>
      <c r="J55" s="192"/>
      <c r="M55" s="192"/>
    </row>
    <row r="56" spans="1:14" x14ac:dyDescent="0.25">
      <c r="A56" s="68" t="s">
        <v>192</v>
      </c>
      <c r="B56" s="25" t="str">
        <f>IFERROR(VLOOKUP(tbEquipe[[#This Row],[Nome]],tbFOPAG[[Nome]:[Cargo]],2,0),"&lt;Selecionar Nome&gt;")</f>
        <v>ESPECIALISTA EM DEVOPS</v>
      </c>
      <c r="C56" t="s">
        <v>45</v>
      </c>
      <c r="D56">
        <v>10</v>
      </c>
      <c r="E56">
        <f>176*tbEquipe[[#This Row],[Alocação]]</f>
        <v>11.733333333333333</v>
      </c>
      <c r="F56" s="337">
        <v>6.6666666666666666E-2</v>
      </c>
      <c r="G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6" s="1"/>
      <c r="J56" s="192"/>
      <c r="M56" s="192"/>
    </row>
    <row r="57" spans="1:14" x14ac:dyDescent="0.25">
      <c r="A57" s="68" t="s">
        <v>192</v>
      </c>
      <c r="B57" s="25" t="str">
        <f>IFERROR(VLOOKUP(tbEquipe[[#This Row],[Nome]],tbFOPAG[[Nome]:[Cargo]],2,0),"&lt;Selecionar Nome&gt;")</f>
        <v>ESPECIALISTA EM DEVOPS</v>
      </c>
      <c r="C57" t="s">
        <v>45</v>
      </c>
      <c r="D57">
        <v>11</v>
      </c>
      <c r="E57">
        <f>176*tbEquipe[[#This Row],[Alocação]]</f>
        <v>11.733333333333333</v>
      </c>
      <c r="F57" s="337">
        <v>6.6666666666666666E-2</v>
      </c>
      <c r="G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7" s="1"/>
      <c r="J57" s="192"/>
      <c r="M57" s="192"/>
    </row>
    <row r="58" spans="1:14" x14ac:dyDescent="0.25">
      <c r="A58" s="68" t="s">
        <v>192</v>
      </c>
      <c r="B58" s="25" t="str">
        <f>IFERROR(VLOOKUP(tbEquipe[[#This Row],[Nome]],tbFOPAG[[Nome]:[Cargo]],2,0),"&lt;Selecionar Nome&gt;")</f>
        <v>ESPECIALISTA EM DEVOPS</v>
      </c>
      <c r="C58" t="s">
        <v>45</v>
      </c>
      <c r="D58">
        <v>12</v>
      </c>
      <c r="E58">
        <f>176*tbEquipe[[#This Row],[Alocação]]</f>
        <v>11.733333333333333</v>
      </c>
      <c r="F58" s="337">
        <v>6.6666666666666666E-2</v>
      </c>
      <c r="G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2385.1441600000003</v>
      </c>
      <c r="H58" s="1"/>
      <c r="I58" s="1"/>
      <c r="J58" s="192"/>
      <c r="M58" s="192"/>
    </row>
    <row r="59" spans="1:14" x14ac:dyDescent="0.25">
      <c r="A59" s="68" t="s">
        <v>192</v>
      </c>
      <c r="B59" s="25" t="str">
        <f>IFERROR(VLOOKUP(tbEquipe[[#This Row],[Nome]],tbFOPAG[[Nome]:[Cargo]],2,0),"&lt;Selecionar Nome&gt;")</f>
        <v>ESPECIALISTA EM DEVOPS</v>
      </c>
      <c r="C59" t="s">
        <v>45</v>
      </c>
      <c r="D59">
        <v>13</v>
      </c>
      <c r="E59">
        <f>176*tbEquipe[[#This Row],[Alocação]]</f>
        <v>0</v>
      </c>
      <c r="F59" s="34"/>
      <c r="G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" s="1"/>
      <c r="I59" s="1"/>
      <c r="J59" s="192"/>
      <c r="M59" s="192"/>
    </row>
    <row r="60" spans="1:14" x14ac:dyDescent="0.25">
      <c r="A60" s="68" t="s">
        <v>192</v>
      </c>
      <c r="B60" s="25" t="str">
        <f>IFERROR(VLOOKUP(tbEquipe[[#This Row],[Nome]],tbFOPAG[[Nome]:[Cargo]],2,0),"&lt;Selecionar Nome&gt;")</f>
        <v>ESPECIALISTA EM DEVOPS</v>
      </c>
      <c r="C60" t="s">
        <v>45</v>
      </c>
      <c r="D60">
        <v>14</v>
      </c>
      <c r="E60">
        <f>176*tbEquipe[[#This Row],[Alocação]]</f>
        <v>0</v>
      </c>
      <c r="F60" s="34"/>
      <c r="G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" s="1"/>
      <c r="I60" s="1"/>
      <c r="J60" s="192"/>
      <c r="M60" s="192"/>
    </row>
    <row r="61" spans="1:14" x14ac:dyDescent="0.25">
      <c r="A61" s="68" t="s">
        <v>192</v>
      </c>
      <c r="B61" s="25" t="str">
        <f>IFERROR(VLOOKUP(tbEquipe[[#This Row],[Nome]],tbFOPAG[[Nome]:[Cargo]],2,0),"&lt;Selecionar Nome&gt;")</f>
        <v>ESPECIALISTA EM DEVOPS</v>
      </c>
      <c r="C61" t="s">
        <v>45</v>
      </c>
      <c r="D61">
        <v>15</v>
      </c>
      <c r="E61">
        <f>176*tbEquipe[[#This Row],[Alocação]]</f>
        <v>0</v>
      </c>
      <c r="F61" s="34"/>
      <c r="G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" s="1"/>
      <c r="I61" s="1">
        <f>SUM(G47:G61)</f>
        <v>28510.055093333332</v>
      </c>
      <c r="J61" s="192"/>
      <c r="M61" s="192"/>
    </row>
    <row r="62" spans="1:14" x14ac:dyDescent="0.25">
      <c r="A62" s="67" t="s">
        <v>74</v>
      </c>
      <c r="B62" s="25" t="str">
        <f>IFERROR(VLOOKUP(tbEquipe[[#This Row],[Nome]],tbFOPAG[[Nome]:[Cargo]],2,0),"&lt;Selecionar Nome&gt;")</f>
        <v>ANALISTA DE AUTOMAÇÃO PL</v>
      </c>
      <c r="C62" t="s">
        <v>45</v>
      </c>
      <c r="D62">
        <v>1</v>
      </c>
      <c r="E62">
        <f>176*tbEquipe[[#This Row],[Alocação]]</f>
        <v>117.33333333333333</v>
      </c>
      <c r="F62" s="337">
        <v>0.66666666666666663</v>
      </c>
      <c r="G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10783.286405334993</v>
      </c>
      <c r="H62" s="1"/>
    </row>
    <row r="63" spans="1:14" x14ac:dyDescent="0.25">
      <c r="A63" s="67" t="s">
        <v>74</v>
      </c>
      <c r="B63" s="25" t="str">
        <f>IFERROR(VLOOKUP(tbEquipe[[#This Row],[Nome]],tbFOPAG[[Nome]:[Cargo]],2,0),"&lt;Selecionar Nome&gt;")</f>
        <v>ANALISTA DE AUTOMAÇÃO PL</v>
      </c>
      <c r="C63" t="s">
        <v>45</v>
      </c>
      <c r="D63">
        <v>2</v>
      </c>
      <c r="E63">
        <f>176*tbEquipe[[#This Row],[Alocação]]</f>
        <v>117.33333333333333</v>
      </c>
      <c r="F63" s="337">
        <v>0.66666666666666663</v>
      </c>
      <c r="G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3" s="1"/>
    </row>
    <row r="64" spans="1:14" x14ac:dyDescent="0.25">
      <c r="A64" s="67" t="s">
        <v>74</v>
      </c>
      <c r="B64" s="25" t="str">
        <f>IFERROR(VLOOKUP(tbEquipe[[#This Row],[Nome]],tbFOPAG[[Nome]:[Cargo]],2,0),"&lt;Selecionar Nome&gt;")</f>
        <v>ANALISTA DE AUTOMAÇÃO PL</v>
      </c>
      <c r="C64" t="s">
        <v>45</v>
      </c>
      <c r="D64">
        <v>3</v>
      </c>
      <c r="E64">
        <f>176*tbEquipe[[#This Row],[Alocação]]</f>
        <v>117.33333333333333</v>
      </c>
      <c r="F64" s="337">
        <v>0.66666666666666663</v>
      </c>
      <c r="G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4" s="1"/>
    </row>
    <row r="65" spans="1:14" x14ac:dyDescent="0.25">
      <c r="A65" s="67" t="s">
        <v>74</v>
      </c>
      <c r="B65" s="25" t="str">
        <f>IFERROR(VLOOKUP(tbEquipe[[#This Row],[Nome]],tbFOPAG[[Nome]:[Cargo]],2,0),"&lt;Selecionar Nome&gt;")</f>
        <v>ANALISTA DE AUTOMAÇÃO PL</v>
      </c>
      <c r="C65" t="s">
        <v>45</v>
      </c>
      <c r="D65">
        <v>4</v>
      </c>
      <c r="E65">
        <f>176*tbEquipe[[#This Row],[Alocação]]</f>
        <v>117.33333333333333</v>
      </c>
      <c r="F65" s="337">
        <v>0.66666666666666663</v>
      </c>
      <c r="G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5" s="1"/>
    </row>
    <row r="66" spans="1:14" x14ac:dyDescent="0.25">
      <c r="A66" s="67" t="s">
        <v>74</v>
      </c>
      <c r="B66" s="25" t="str">
        <f>IFERROR(VLOOKUP(tbEquipe[[#This Row],[Nome]],tbFOPAG[[Nome]:[Cargo]],2,0),"&lt;Selecionar Nome&gt;")</f>
        <v>ANALISTA DE AUTOMAÇÃO PL</v>
      </c>
      <c r="C66" t="s">
        <v>45</v>
      </c>
      <c r="D66">
        <v>5</v>
      </c>
      <c r="E66">
        <f>176*tbEquipe[[#This Row],[Alocação]]</f>
        <v>117.33333333333333</v>
      </c>
      <c r="F66" s="337">
        <v>0.66666666666666663</v>
      </c>
      <c r="G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6" s="1"/>
    </row>
    <row r="67" spans="1:14" x14ac:dyDescent="0.25">
      <c r="A67" s="67" t="s">
        <v>74</v>
      </c>
      <c r="B67" s="25" t="str">
        <f>IFERROR(VLOOKUP(tbEquipe[[#This Row],[Nome]],tbFOPAG[[Nome]:[Cargo]],2,0),"&lt;Selecionar Nome&gt;")</f>
        <v>ANALISTA DE AUTOMAÇÃO PL</v>
      </c>
      <c r="C67" t="s">
        <v>45</v>
      </c>
      <c r="D67">
        <v>6</v>
      </c>
      <c r="E67">
        <f>176*tbEquipe[[#This Row],[Alocação]]</f>
        <v>117.33333333333333</v>
      </c>
      <c r="F67" s="337">
        <v>0.66666666666666663</v>
      </c>
      <c r="G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7" s="1"/>
      <c r="J67" s="192"/>
      <c r="M67" s="192"/>
    </row>
    <row r="68" spans="1:14" x14ac:dyDescent="0.25">
      <c r="A68" s="67" t="s">
        <v>74</v>
      </c>
      <c r="B68" s="25" t="str">
        <f>IFERROR(VLOOKUP(tbEquipe[[#This Row],[Nome]],tbFOPAG[[Nome]:[Cargo]],2,0),"&lt;Selecionar Nome&gt;")</f>
        <v>ANALISTA DE AUTOMAÇÃO PL</v>
      </c>
      <c r="C68" t="s">
        <v>45</v>
      </c>
      <c r="D68">
        <v>7</v>
      </c>
      <c r="E68">
        <f>176*tbEquipe[[#This Row],[Alocação]]</f>
        <v>117.33333333333333</v>
      </c>
      <c r="F68" s="337">
        <v>0.66666666666666663</v>
      </c>
      <c r="G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8" s="1"/>
    </row>
    <row r="69" spans="1:14" x14ac:dyDescent="0.25">
      <c r="A69" s="67" t="s">
        <v>74</v>
      </c>
      <c r="B69" s="25" t="str">
        <f>IFERROR(VLOOKUP(tbEquipe[[#This Row],[Nome]],tbFOPAG[[Nome]:[Cargo]],2,0),"&lt;Selecionar Nome&gt;")</f>
        <v>ANALISTA DE AUTOMAÇÃO PL</v>
      </c>
      <c r="C69" t="s">
        <v>45</v>
      </c>
      <c r="D69">
        <v>8</v>
      </c>
      <c r="E69">
        <f>176*tbEquipe[[#This Row],[Alocação]]</f>
        <v>117.33333333333333</v>
      </c>
      <c r="F69" s="337">
        <v>0.66666666666666663</v>
      </c>
      <c r="G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69" s="1"/>
      <c r="I69" s="1">
        <f>SUM(G62:G69)</f>
        <v>89063.938199587297</v>
      </c>
      <c r="J69" s="333">
        <f>SUM(F62:F69)</f>
        <v>5.333333333333333</v>
      </c>
      <c r="K69" s="335">
        <f>J69/12</f>
        <v>0.44444444444444442</v>
      </c>
      <c r="M69" s="192">
        <v>8</v>
      </c>
      <c r="N69" s="335">
        <v>0.66666666666666663</v>
      </c>
    </row>
    <row r="70" spans="1:14" x14ac:dyDescent="0.25">
      <c r="A70" s="67" t="s">
        <v>74</v>
      </c>
      <c r="B70" s="25" t="str">
        <f>IFERROR(VLOOKUP(tbEquipe[[#This Row],[Nome]],tbFOPAG[[Nome]:[Cargo]],2,0),"&lt;Selecionar Nome&gt;")</f>
        <v>ANALISTA DE AUTOMAÇÃO PL</v>
      </c>
      <c r="C70" t="s">
        <v>45</v>
      </c>
      <c r="D70">
        <v>9</v>
      </c>
      <c r="E70">
        <f>176*tbEquipe[[#This Row],[Alocação]]</f>
        <v>117.33333333333333</v>
      </c>
      <c r="F70" s="337">
        <v>0.66666666666666663</v>
      </c>
      <c r="G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70" s="1"/>
    </row>
    <row r="71" spans="1:14" x14ac:dyDescent="0.25">
      <c r="A71" s="67" t="s">
        <v>74</v>
      </c>
      <c r="B71" s="25" t="str">
        <f>IFERROR(VLOOKUP(tbEquipe[[#This Row],[Nome]],tbFOPAG[[Nome]:[Cargo]],2,0),"&lt;Selecionar Nome&gt;")</f>
        <v>ANALISTA DE AUTOMAÇÃO PL</v>
      </c>
      <c r="C71" t="s">
        <v>45</v>
      </c>
      <c r="D71">
        <v>10</v>
      </c>
      <c r="E71">
        <f>176*tbEquipe[[#This Row],[Alocação]]</f>
        <v>117.33333333333333</v>
      </c>
      <c r="F71" s="337">
        <v>0.66666666666666663</v>
      </c>
      <c r="G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71" s="1"/>
    </row>
    <row r="72" spans="1:14" x14ac:dyDescent="0.25">
      <c r="A72" s="67" t="s">
        <v>74</v>
      </c>
      <c r="B72" s="25" t="str">
        <f>IFERROR(VLOOKUP(tbEquipe[[#This Row],[Nome]],tbFOPAG[[Nome]:[Cargo]],2,0),"&lt;Selecionar Nome&gt;")</f>
        <v>ANALISTA DE AUTOMAÇÃO PL</v>
      </c>
      <c r="C72" t="s">
        <v>45</v>
      </c>
      <c r="D72">
        <v>11</v>
      </c>
      <c r="E72">
        <f>176*tbEquipe[[#This Row],[Alocação]]</f>
        <v>117.33333333333333</v>
      </c>
      <c r="F72" s="337">
        <v>0.66666666666666663</v>
      </c>
      <c r="G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72" s="1"/>
    </row>
    <row r="73" spans="1:14" s="72" customFormat="1" x14ac:dyDescent="0.25">
      <c r="A73" s="267" t="s">
        <v>74</v>
      </c>
      <c r="B73" s="265" t="str">
        <f>IFERROR(VLOOKUP(tbEquipe[[#This Row],[Nome]],tbFOPAG[[Nome]:[Cargo]],2,0),"&lt;Selecionar Nome&gt;")</f>
        <v>ANALISTA DE AUTOMAÇÃO PL</v>
      </c>
      <c r="C73" s="72" t="s">
        <v>45</v>
      </c>
      <c r="D73" s="72">
        <v>12</v>
      </c>
      <c r="E73" s="72">
        <f>176*tbEquipe[[#This Row],[Alocação]]</f>
        <v>117.33333333333333</v>
      </c>
      <c r="F73" s="337">
        <v>0.66666666666666663</v>
      </c>
      <c r="G73" s="266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11182.950256321759</v>
      </c>
      <c r="H73" s="266"/>
      <c r="I73" s="266">
        <f>SUM(G62:G73)</f>
        <v>133795.73922487433</v>
      </c>
      <c r="J73" s="268" t="s">
        <v>593</v>
      </c>
      <c r="M73" s="268" t="s">
        <v>593</v>
      </c>
    </row>
    <row r="74" spans="1:14" x14ac:dyDescent="0.25">
      <c r="A74" s="67" t="s">
        <v>180</v>
      </c>
      <c r="B74" s="25" t="str">
        <f>IFERROR(VLOOKUP(tbEquipe[[#This Row],[Nome]],tbFOPAG[[Nome]:[Cargo]],2,0),"&lt;Selecionar Nome&gt;")</f>
        <v>DESIGNER UX/UI JR</v>
      </c>
      <c r="C74" t="s">
        <v>45</v>
      </c>
      <c r="D74">
        <v>1</v>
      </c>
      <c r="E74">
        <f>176*tbEquipe[[#This Row],[Alocação]]</f>
        <v>38.72</v>
      </c>
      <c r="F74" s="337">
        <v>0.22</v>
      </c>
      <c r="G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2091.7644</v>
      </c>
      <c r="H74" s="1"/>
    </row>
    <row r="75" spans="1:14" x14ac:dyDescent="0.25">
      <c r="A75" s="67" t="s">
        <v>180</v>
      </c>
      <c r="B75" s="25" t="str">
        <f>IFERROR(VLOOKUP(tbEquipe[[#This Row],[Nome]],tbFOPAG[[Nome]:[Cargo]],2,0),"&lt;Selecionar Nome&gt;")</f>
        <v>DESIGNER UX/UI JR</v>
      </c>
      <c r="C75" t="s">
        <v>45</v>
      </c>
      <c r="D75">
        <v>2</v>
      </c>
      <c r="E75">
        <f>176*tbEquipe[[#This Row],[Alocação]]</f>
        <v>38.72</v>
      </c>
      <c r="F75" s="337">
        <v>0.22</v>
      </c>
      <c r="G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75" s="1"/>
    </row>
    <row r="76" spans="1:14" x14ac:dyDescent="0.25">
      <c r="A76" s="67" t="s">
        <v>180</v>
      </c>
      <c r="B76" s="25" t="str">
        <f>IFERROR(VLOOKUP(tbEquipe[[#This Row],[Nome]],tbFOPAG[[Nome]:[Cargo]],2,0),"&lt;Selecionar Nome&gt;")</f>
        <v>DESIGNER UX/UI JR</v>
      </c>
      <c r="C76" t="s">
        <v>45</v>
      </c>
      <c r="D76">
        <v>3</v>
      </c>
      <c r="E76">
        <f>176*tbEquipe[[#This Row],[Alocação]]</f>
        <v>38.72</v>
      </c>
      <c r="F76" s="337">
        <v>0.22</v>
      </c>
      <c r="G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76" s="1"/>
    </row>
    <row r="77" spans="1:14" x14ac:dyDescent="0.25">
      <c r="A77" s="67" t="s">
        <v>180</v>
      </c>
      <c r="B77" s="25" t="str">
        <f>IFERROR(VLOOKUP(tbEquipe[[#This Row],[Nome]],tbFOPAG[[Nome]:[Cargo]],2,0),"&lt;Selecionar Nome&gt;")</f>
        <v>DESIGNER UX/UI JR</v>
      </c>
      <c r="C77" t="s">
        <v>45</v>
      </c>
      <c r="D77">
        <v>4</v>
      </c>
      <c r="E77">
        <f>176*tbEquipe[[#This Row],[Alocação]]</f>
        <v>38.72</v>
      </c>
      <c r="F77" s="337">
        <v>0.22</v>
      </c>
      <c r="G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77" s="1"/>
    </row>
    <row r="78" spans="1:14" x14ac:dyDescent="0.25">
      <c r="A78" s="67" t="s">
        <v>180</v>
      </c>
      <c r="B78" s="25" t="str">
        <f>IFERROR(VLOOKUP(tbEquipe[[#This Row],[Nome]],tbFOPAG[[Nome]:[Cargo]],2,0),"&lt;Selecionar Nome&gt;")</f>
        <v>DESIGNER UX/UI JR</v>
      </c>
      <c r="C78" t="s">
        <v>45</v>
      </c>
      <c r="D78">
        <v>5</v>
      </c>
      <c r="E78">
        <f>176*tbEquipe[[#This Row],[Alocação]]</f>
        <v>38.72</v>
      </c>
      <c r="F78" s="337">
        <v>0.22</v>
      </c>
      <c r="G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78" s="1"/>
    </row>
    <row r="79" spans="1:14" x14ac:dyDescent="0.25">
      <c r="A79" s="67" t="s">
        <v>180</v>
      </c>
      <c r="B79" s="25" t="str">
        <f>IFERROR(VLOOKUP(tbEquipe[[#This Row],[Nome]],tbFOPAG[[Nome]:[Cargo]],2,0),"&lt;Selecionar Nome&gt;")</f>
        <v>DESIGNER UX/UI JR</v>
      </c>
      <c r="C79" t="s">
        <v>45</v>
      </c>
      <c r="D79">
        <v>6</v>
      </c>
      <c r="E79">
        <f>176*tbEquipe[[#This Row],[Alocação]]</f>
        <v>38.72</v>
      </c>
      <c r="F79" s="337">
        <v>0.22</v>
      </c>
      <c r="G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79" s="1"/>
      <c r="J79" s="192"/>
      <c r="M79" s="192"/>
    </row>
    <row r="80" spans="1:14" x14ac:dyDescent="0.25">
      <c r="A80" s="67" t="s">
        <v>180</v>
      </c>
      <c r="B80" s="25" t="str">
        <f>IFERROR(VLOOKUP(tbEquipe[[#This Row],[Nome]],tbFOPAG[[Nome]:[Cargo]],2,0),"&lt;Selecionar Nome&gt;")</f>
        <v>DESIGNER UX/UI JR</v>
      </c>
      <c r="C80" t="s">
        <v>45</v>
      </c>
      <c r="D80">
        <v>7</v>
      </c>
      <c r="E80">
        <f>176*tbEquipe[[#This Row],[Alocação]]</f>
        <v>38.72</v>
      </c>
      <c r="F80" s="337">
        <v>0.22</v>
      </c>
      <c r="G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0" s="1"/>
      <c r="I80" s="255"/>
    </row>
    <row r="81" spans="1:14" x14ac:dyDescent="0.25">
      <c r="A81" s="67" t="s">
        <v>180</v>
      </c>
      <c r="B81" s="25" t="str">
        <f>IFERROR(VLOOKUP(tbEquipe[[#This Row],[Nome]],tbFOPAG[[Nome]:[Cargo]],2,0),"&lt;Selecionar Nome&gt;")</f>
        <v>DESIGNER UX/UI JR</v>
      </c>
      <c r="C81" t="s">
        <v>45</v>
      </c>
      <c r="D81">
        <v>8</v>
      </c>
      <c r="E81">
        <f>176*tbEquipe[[#This Row],[Alocação]]</f>
        <v>38.72</v>
      </c>
      <c r="F81" s="337">
        <v>0.22</v>
      </c>
      <c r="G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1" s="1"/>
      <c r="I81" s="1">
        <f>SUM(G74:G81)</f>
        <v>17041.316247999999</v>
      </c>
      <c r="J81" s="333">
        <f>SUM(F74:F81)</f>
        <v>1.76</v>
      </c>
      <c r="K81" s="335">
        <f>J81/12</f>
        <v>0.14666666666666667</v>
      </c>
      <c r="M81" s="192">
        <v>2.64</v>
      </c>
      <c r="N81" s="335">
        <v>0.22</v>
      </c>
    </row>
    <row r="82" spans="1:14" x14ac:dyDescent="0.25">
      <c r="A82" s="67" t="s">
        <v>180</v>
      </c>
      <c r="B82" s="25" t="str">
        <f>IFERROR(VLOOKUP(tbEquipe[[#This Row],[Nome]],tbFOPAG[[Nome]:[Cargo]],2,0),"&lt;Selecionar Nome&gt;")</f>
        <v>DESIGNER UX/UI JR</v>
      </c>
      <c r="C82" t="s">
        <v>45</v>
      </c>
      <c r="D82">
        <v>9</v>
      </c>
      <c r="E82">
        <f>176*tbEquipe[[#This Row],[Alocação]]</f>
        <v>38.72</v>
      </c>
      <c r="F82" s="337">
        <v>0.22</v>
      </c>
      <c r="G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2" s="1"/>
      <c r="I82" s="255"/>
    </row>
    <row r="83" spans="1:14" x14ac:dyDescent="0.25">
      <c r="A83" s="67" t="s">
        <v>180</v>
      </c>
      <c r="B83" s="25" t="str">
        <f>IFERROR(VLOOKUP(tbEquipe[[#This Row],[Nome]],tbFOPAG[[Nome]:[Cargo]],2,0),"&lt;Selecionar Nome&gt;")</f>
        <v>DESIGNER UX/UI JR</v>
      </c>
      <c r="C83" t="s">
        <v>45</v>
      </c>
      <c r="D83">
        <v>10</v>
      </c>
      <c r="E83">
        <f>176*tbEquipe[[#This Row],[Alocação]]</f>
        <v>38.72</v>
      </c>
      <c r="F83" s="337">
        <v>0.22</v>
      </c>
      <c r="G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3" s="1"/>
      <c r="I83" s="255"/>
    </row>
    <row r="84" spans="1:14" x14ac:dyDescent="0.25">
      <c r="A84" s="67" t="s">
        <v>180</v>
      </c>
      <c r="B84" s="25" t="str">
        <f>IFERROR(VLOOKUP(tbEquipe[[#This Row],[Nome]],tbFOPAG[[Nome]:[Cargo]],2,0),"&lt;Selecionar Nome&gt;")</f>
        <v>DESIGNER UX/UI JR</v>
      </c>
      <c r="C84" t="s">
        <v>45</v>
      </c>
      <c r="D84">
        <v>11</v>
      </c>
      <c r="E84">
        <f>176*tbEquipe[[#This Row],[Alocação]]</f>
        <v>38.72</v>
      </c>
      <c r="F84" s="337">
        <v>0.22</v>
      </c>
      <c r="G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4" s="1"/>
      <c r="I84" s="255"/>
    </row>
    <row r="85" spans="1:14" x14ac:dyDescent="0.25">
      <c r="A85" s="67" t="s">
        <v>180</v>
      </c>
      <c r="B85" s="25" t="str">
        <f>IFERROR(VLOOKUP(tbEquipe[[#This Row],[Nome]],tbFOPAG[[Nome]:[Cargo]],2,0),"&lt;Selecionar Nome&gt;")</f>
        <v>DESIGNER UX/UI JR</v>
      </c>
      <c r="C85" t="s">
        <v>45</v>
      </c>
      <c r="D85">
        <v>12</v>
      </c>
      <c r="E85">
        <f>176*tbEquipe[[#This Row],[Alocação]]</f>
        <v>38.72</v>
      </c>
      <c r="F85" s="337">
        <v>0.22</v>
      </c>
      <c r="G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2135.6502640000003</v>
      </c>
      <c r="H85" s="1"/>
      <c r="I85" s="1"/>
    </row>
    <row r="86" spans="1:14" x14ac:dyDescent="0.25">
      <c r="A86" s="67" t="s">
        <v>180</v>
      </c>
      <c r="B86" s="25" t="str">
        <f>IFERROR(VLOOKUP(tbEquipe[[#This Row],[Nome]],tbFOPAG[[Nome]:[Cargo]],2,0),"&lt;Selecionar Nome&gt;")</f>
        <v>DESIGNER UX/UI JR</v>
      </c>
      <c r="C86" t="s">
        <v>45</v>
      </c>
      <c r="D86">
        <v>13</v>
      </c>
      <c r="E86">
        <f>176*tbEquipe[[#This Row],[Alocação]]</f>
        <v>0</v>
      </c>
      <c r="F86" s="34"/>
      <c r="G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" s="1"/>
      <c r="I86" s="1"/>
    </row>
    <row r="87" spans="1:14" x14ac:dyDescent="0.25">
      <c r="A87" s="67" t="s">
        <v>180</v>
      </c>
      <c r="B87" s="25" t="str">
        <f>IFERROR(VLOOKUP(tbEquipe[[#This Row],[Nome]],tbFOPAG[[Nome]:[Cargo]],2,0),"&lt;Selecionar Nome&gt;")</f>
        <v>DESIGNER UX/UI JR</v>
      </c>
      <c r="C87" t="s">
        <v>45</v>
      </c>
      <c r="D87">
        <v>14</v>
      </c>
      <c r="E87">
        <f>176*tbEquipe[[#This Row],[Alocação]]</f>
        <v>0</v>
      </c>
      <c r="F87" s="34"/>
      <c r="G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" s="1"/>
      <c r="I87" s="1"/>
    </row>
    <row r="88" spans="1:14" x14ac:dyDescent="0.25">
      <c r="A88" s="67" t="s">
        <v>180</v>
      </c>
      <c r="B88" s="25" t="str">
        <f>IFERROR(VLOOKUP(tbEquipe[[#This Row],[Nome]],tbFOPAG[[Nome]:[Cargo]],2,0),"&lt;Selecionar Nome&gt;")</f>
        <v>DESIGNER UX/UI JR</v>
      </c>
      <c r="C88" t="s">
        <v>45</v>
      </c>
      <c r="D88">
        <v>15</v>
      </c>
      <c r="E88">
        <f>176*tbEquipe[[#This Row],[Alocação]]</f>
        <v>0</v>
      </c>
      <c r="F88" s="34"/>
      <c r="G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" s="1"/>
      <c r="I88" s="1">
        <f>SUM(G74:G88)</f>
        <v>25583.917303999999</v>
      </c>
    </row>
    <row r="89" spans="1:14" x14ac:dyDescent="0.25">
      <c r="A89" s="67" t="s">
        <v>148</v>
      </c>
      <c r="B89" s="25" t="str">
        <f>IFERROR(VLOOKUP(tbEquipe[[#This Row],[Nome]],tbFOPAG[[Nome]:[Cargo]],2,0),"&lt;Selecionar Nome&gt;")</f>
        <v>DBA JR</v>
      </c>
      <c r="C89" t="s">
        <v>45</v>
      </c>
      <c r="D89">
        <v>1</v>
      </c>
      <c r="E89">
        <f>176*tbEquipe[[#This Row],[Alocação]]</f>
        <v>23.466666666666665</v>
      </c>
      <c r="F89" s="337">
        <v>0.13333333333333333</v>
      </c>
      <c r="G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1104.7613333333334</v>
      </c>
      <c r="H89" s="1"/>
      <c r="I89" s="255"/>
    </row>
    <row r="90" spans="1:14" x14ac:dyDescent="0.25">
      <c r="A90" s="67" t="s">
        <v>148</v>
      </c>
      <c r="B90" s="25" t="str">
        <f>IFERROR(VLOOKUP(tbEquipe[[#This Row],[Nome]],tbFOPAG[[Nome]:[Cargo]],2,0),"&lt;Selecionar Nome&gt;")</f>
        <v>DBA JR</v>
      </c>
      <c r="C90" t="s">
        <v>45</v>
      </c>
      <c r="D90">
        <v>2</v>
      </c>
      <c r="E90">
        <f>176*tbEquipe[[#This Row],[Alocação]]</f>
        <v>23.466666666666665</v>
      </c>
      <c r="F90" s="337">
        <v>0.13333333333333333</v>
      </c>
      <c r="G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0" s="1"/>
    </row>
    <row r="91" spans="1:14" x14ac:dyDescent="0.25">
      <c r="A91" s="67" t="s">
        <v>148</v>
      </c>
      <c r="B91" s="25" t="str">
        <f>IFERROR(VLOOKUP(tbEquipe[[#This Row],[Nome]],tbFOPAG[[Nome]:[Cargo]],2,0),"&lt;Selecionar Nome&gt;")</f>
        <v>DBA JR</v>
      </c>
      <c r="C91" t="s">
        <v>45</v>
      </c>
      <c r="D91">
        <v>3</v>
      </c>
      <c r="E91">
        <f>176*tbEquipe[[#This Row],[Alocação]]</f>
        <v>23.466666666666665</v>
      </c>
      <c r="F91" s="337">
        <v>0.13333333333333333</v>
      </c>
      <c r="G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1" s="1"/>
    </row>
    <row r="92" spans="1:14" x14ac:dyDescent="0.25">
      <c r="A92" s="67" t="s">
        <v>148</v>
      </c>
      <c r="B92" s="25" t="str">
        <f>IFERROR(VLOOKUP(tbEquipe[[#This Row],[Nome]],tbFOPAG[[Nome]:[Cargo]],2,0),"&lt;Selecionar Nome&gt;")</f>
        <v>DBA JR</v>
      </c>
      <c r="C92" t="s">
        <v>45</v>
      </c>
      <c r="D92">
        <v>4</v>
      </c>
      <c r="E92">
        <f>176*tbEquipe[[#This Row],[Alocação]]</f>
        <v>23.466666666666665</v>
      </c>
      <c r="F92" s="337">
        <v>0.13333333333333333</v>
      </c>
      <c r="G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2" s="1"/>
    </row>
    <row r="93" spans="1:14" x14ac:dyDescent="0.25">
      <c r="A93" s="67" t="s">
        <v>148</v>
      </c>
      <c r="B93" s="25" t="str">
        <f>IFERROR(VLOOKUP(tbEquipe[[#This Row],[Nome]],tbFOPAG[[Nome]:[Cargo]],2,0),"&lt;Selecionar Nome&gt;")</f>
        <v>DBA JR</v>
      </c>
      <c r="C93" t="s">
        <v>45</v>
      </c>
      <c r="D93">
        <v>5</v>
      </c>
      <c r="E93">
        <f>176*tbEquipe[[#This Row],[Alocação]]</f>
        <v>23.466666666666665</v>
      </c>
      <c r="F93" s="337">
        <v>0.13333333333333333</v>
      </c>
      <c r="G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3" s="1"/>
    </row>
    <row r="94" spans="1:14" x14ac:dyDescent="0.25">
      <c r="A94" s="67" t="s">
        <v>148</v>
      </c>
      <c r="B94" s="25" t="str">
        <f>IFERROR(VLOOKUP(tbEquipe[[#This Row],[Nome]],tbFOPAG[[Nome]:[Cargo]],2,0),"&lt;Selecionar Nome&gt;")</f>
        <v>DBA JR</v>
      </c>
      <c r="C94" t="s">
        <v>45</v>
      </c>
      <c r="D94">
        <v>6</v>
      </c>
      <c r="E94">
        <f>176*tbEquipe[[#This Row],[Alocação]]</f>
        <v>23.466666666666665</v>
      </c>
      <c r="F94" s="337">
        <v>0.13333333333333333</v>
      </c>
      <c r="G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4" s="1"/>
    </row>
    <row r="95" spans="1:14" x14ac:dyDescent="0.25">
      <c r="A95" s="67" t="s">
        <v>148</v>
      </c>
      <c r="B95" s="25" t="str">
        <f>IFERROR(VLOOKUP(tbEquipe[[#This Row],[Nome]],tbFOPAG[[Nome]:[Cargo]],2,0),"&lt;Selecionar Nome&gt;")</f>
        <v>DBA JR</v>
      </c>
      <c r="C95" t="s">
        <v>45</v>
      </c>
      <c r="D95">
        <v>7</v>
      </c>
      <c r="E95">
        <f>176*tbEquipe[[#This Row],[Alocação]]</f>
        <v>23.466666666666665</v>
      </c>
      <c r="F95" s="337">
        <v>0.13333333333333333</v>
      </c>
      <c r="G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5" s="1"/>
    </row>
    <row r="96" spans="1:14" x14ac:dyDescent="0.25">
      <c r="A96" s="67" t="s">
        <v>148</v>
      </c>
      <c r="B96" s="25" t="str">
        <f>IFERROR(VLOOKUP(tbEquipe[[#This Row],[Nome]],tbFOPAG[[Nome]:[Cargo]],2,0),"&lt;Selecionar Nome&gt;")</f>
        <v>DBA JR</v>
      </c>
      <c r="C96" t="s">
        <v>45</v>
      </c>
      <c r="D96">
        <v>8</v>
      </c>
      <c r="E96">
        <f>176*tbEquipe[[#This Row],[Alocação]]</f>
        <v>23.466666666666665</v>
      </c>
      <c r="F96" s="337">
        <v>0.13333333333333333</v>
      </c>
      <c r="G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6" s="1"/>
      <c r="I96" s="1">
        <f>SUM(G89:G96)</f>
        <v>8955.8237599999993</v>
      </c>
      <c r="J96" s="333">
        <f>SUM(F89:F96)</f>
        <v>1.0666666666666667</v>
      </c>
      <c r="K96" s="335">
        <f>J96/12</f>
        <v>8.8888888888888892E-2</v>
      </c>
      <c r="M96" s="192">
        <v>1.5999999999999999</v>
      </c>
      <c r="N96" s="335">
        <v>0.13333333333333333</v>
      </c>
    </row>
    <row r="97" spans="1:14" x14ac:dyDescent="0.25">
      <c r="A97" s="67" t="s">
        <v>148</v>
      </c>
      <c r="B97" s="25" t="str">
        <f>IFERROR(VLOOKUP(tbEquipe[[#This Row],[Nome]],tbFOPAG[[Nome]:[Cargo]],2,0),"&lt;Selecionar Nome&gt;")</f>
        <v>DBA JR</v>
      </c>
      <c r="C97" t="s">
        <v>45</v>
      </c>
      <c r="D97">
        <v>9</v>
      </c>
      <c r="E97">
        <f>176*tbEquipe[[#This Row],[Alocação]]</f>
        <v>23.466666666666665</v>
      </c>
      <c r="F97" s="337">
        <v>0.13333333333333333</v>
      </c>
      <c r="G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7" s="1"/>
    </row>
    <row r="98" spans="1:14" x14ac:dyDescent="0.25">
      <c r="A98" s="67" t="s">
        <v>148</v>
      </c>
      <c r="B98" s="25" t="str">
        <f>IFERROR(VLOOKUP(tbEquipe[[#This Row],[Nome]],tbFOPAG[[Nome]:[Cargo]],2,0),"&lt;Selecionar Nome&gt;")</f>
        <v>DBA JR</v>
      </c>
      <c r="C98" t="s">
        <v>45</v>
      </c>
      <c r="D98">
        <v>10</v>
      </c>
      <c r="E98">
        <f>176*tbEquipe[[#This Row],[Alocação]]</f>
        <v>23.466666666666665</v>
      </c>
      <c r="F98" s="337">
        <v>0.13333333333333333</v>
      </c>
      <c r="G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8" s="1"/>
    </row>
    <row r="99" spans="1:14" x14ac:dyDescent="0.25">
      <c r="A99" s="67" t="s">
        <v>148</v>
      </c>
      <c r="B99" s="25" t="str">
        <f>IFERROR(VLOOKUP(tbEquipe[[#This Row],[Nome]],tbFOPAG[[Nome]:[Cargo]],2,0),"&lt;Selecionar Nome&gt;")</f>
        <v>DBA JR</v>
      </c>
      <c r="C99" t="s">
        <v>45</v>
      </c>
      <c r="D99">
        <v>11</v>
      </c>
      <c r="E99">
        <f>176*tbEquipe[[#This Row],[Alocação]]</f>
        <v>23.466666666666665</v>
      </c>
      <c r="F99" s="337">
        <v>0.13333333333333333</v>
      </c>
      <c r="G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99" s="1"/>
    </row>
    <row r="100" spans="1:14" x14ac:dyDescent="0.25">
      <c r="A100" s="67" t="s">
        <v>148</v>
      </c>
      <c r="B100" s="25" t="str">
        <f>IFERROR(VLOOKUP(tbEquipe[[#This Row],[Nome]],tbFOPAG[[Nome]:[Cargo]],2,0),"&lt;Selecionar Nome&gt;")</f>
        <v>DBA JR</v>
      </c>
      <c r="C100" t="s">
        <v>45</v>
      </c>
      <c r="D100">
        <v>12</v>
      </c>
      <c r="E100">
        <f>176*tbEquipe[[#This Row],[Alocação]]</f>
        <v>23.466666666666665</v>
      </c>
      <c r="F100" s="337">
        <v>0.13333333333333333</v>
      </c>
      <c r="G1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1121.5803466666666</v>
      </c>
      <c r="H100" s="1"/>
      <c r="I100" s="1"/>
    </row>
    <row r="101" spans="1:14" x14ac:dyDescent="0.25">
      <c r="A101" s="67" t="s">
        <v>148</v>
      </c>
      <c r="B101" s="25" t="str">
        <f>IFERROR(VLOOKUP(tbEquipe[[#This Row],[Nome]],tbFOPAG[[Nome]:[Cargo]],2,0),"&lt;Selecionar Nome&gt;")</f>
        <v>DBA JR</v>
      </c>
      <c r="C101" t="s">
        <v>45</v>
      </c>
      <c r="D101">
        <v>13</v>
      </c>
      <c r="E101">
        <f>176*tbEquipe[[#This Row],[Alocação]]</f>
        <v>0</v>
      </c>
      <c r="F101" s="34"/>
      <c r="G1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" s="1"/>
      <c r="I101" s="1"/>
    </row>
    <row r="102" spans="1:14" x14ac:dyDescent="0.25">
      <c r="A102" s="67" t="s">
        <v>148</v>
      </c>
      <c r="B102" s="25" t="str">
        <f>IFERROR(VLOOKUP(tbEquipe[[#This Row],[Nome]],tbFOPAG[[Nome]:[Cargo]],2,0),"&lt;Selecionar Nome&gt;")</f>
        <v>DBA JR</v>
      </c>
      <c r="C102" t="s">
        <v>45</v>
      </c>
      <c r="D102">
        <v>14</v>
      </c>
      <c r="E102">
        <f>176*tbEquipe[[#This Row],[Alocação]]</f>
        <v>0</v>
      </c>
      <c r="F102" s="34"/>
      <c r="G1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" s="1"/>
      <c r="I102" s="1"/>
    </row>
    <row r="103" spans="1:14" x14ac:dyDescent="0.25">
      <c r="A103" s="67" t="s">
        <v>148</v>
      </c>
      <c r="B103" s="25" t="str">
        <f>IFERROR(VLOOKUP(tbEquipe[[#This Row],[Nome]],tbFOPAG[[Nome]:[Cargo]],2,0),"&lt;Selecionar Nome&gt;")</f>
        <v>DBA JR</v>
      </c>
      <c r="C103" t="s">
        <v>45</v>
      </c>
      <c r="D103">
        <v>15</v>
      </c>
      <c r="E103">
        <f>176*tbEquipe[[#This Row],[Alocação]]</f>
        <v>0</v>
      </c>
      <c r="F103" s="34"/>
      <c r="G1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" s="1"/>
      <c r="I103" s="1">
        <f>SUM(G89:G103)</f>
        <v>13442.145146666662</v>
      </c>
    </row>
    <row r="104" spans="1:14" x14ac:dyDescent="0.25">
      <c r="A104" s="68" t="s">
        <v>166</v>
      </c>
      <c r="B104" s="25" t="str">
        <f>IFERROR(VLOOKUP(tbEquipe[[#This Row],[Nome]],tbFOPAG[[Nome]:[Cargo]],2,0),"&lt;Selecionar Nome&gt;")</f>
        <v>DESENVOLVEDOR FULL STACK SR</v>
      </c>
      <c r="C104" t="s">
        <v>45</v>
      </c>
      <c r="D104">
        <v>1</v>
      </c>
      <c r="E104">
        <f>176*tbEquipe[[#This Row],[Alocação]]</f>
        <v>58.666666666666664</v>
      </c>
      <c r="F104" s="337">
        <v>0.33333333333333331</v>
      </c>
      <c r="G1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8535.4796666666643</v>
      </c>
      <c r="H104" s="1"/>
    </row>
    <row r="105" spans="1:14" x14ac:dyDescent="0.25">
      <c r="A105" s="68" t="s">
        <v>166</v>
      </c>
      <c r="B105" s="25" t="str">
        <f>IFERROR(VLOOKUP(tbEquipe[[#This Row],[Nome]],tbFOPAG[[Nome]:[Cargo]],2,0),"&lt;Selecionar Nome&gt;")</f>
        <v>DESENVOLVEDOR FULL STACK SR</v>
      </c>
      <c r="C105" t="s">
        <v>45</v>
      </c>
      <c r="D105">
        <v>2</v>
      </c>
      <c r="E105">
        <f>176*tbEquipe[[#This Row],[Alocação]]</f>
        <v>58.666666666666664</v>
      </c>
      <c r="F105" s="337">
        <v>0.33333333333333331</v>
      </c>
      <c r="G1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05" s="1"/>
    </row>
    <row r="106" spans="1:14" x14ac:dyDescent="0.25">
      <c r="A106" s="68" t="s">
        <v>166</v>
      </c>
      <c r="B106" s="25" t="str">
        <f>IFERROR(VLOOKUP(tbEquipe[[#This Row],[Nome]],tbFOPAG[[Nome]:[Cargo]],2,0),"&lt;Selecionar Nome&gt;")</f>
        <v>DESENVOLVEDOR FULL STACK SR</v>
      </c>
      <c r="C106" t="s">
        <v>45</v>
      </c>
      <c r="D106">
        <v>3</v>
      </c>
      <c r="E106">
        <f>176*tbEquipe[[#This Row],[Alocação]]</f>
        <v>58.666666666666664</v>
      </c>
      <c r="F106" s="337">
        <v>0.33333333333333331</v>
      </c>
      <c r="G1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06" s="1"/>
    </row>
    <row r="107" spans="1:14" x14ac:dyDescent="0.25">
      <c r="A107" s="68" t="s">
        <v>166</v>
      </c>
      <c r="B107" s="25" t="str">
        <f>IFERROR(VLOOKUP(tbEquipe[[#This Row],[Nome]],tbFOPAG[[Nome]:[Cargo]],2,0),"&lt;Selecionar Nome&gt;")</f>
        <v>DESENVOLVEDOR FULL STACK SR</v>
      </c>
      <c r="C107" t="s">
        <v>45</v>
      </c>
      <c r="D107">
        <v>4</v>
      </c>
      <c r="E107">
        <f>176*tbEquipe[[#This Row],[Alocação]]</f>
        <v>58.666666666666664</v>
      </c>
      <c r="F107" s="337">
        <v>0.33333333333333331</v>
      </c>
      <c r="G1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07" s="1"/>
    </row>
    <row r="108" spans="1:14" x14ac:dyDescent="0.25">
      <c r="A108" s="68" t="s">
        <v>166</v>
      </c>
      <c r="B108" s="25" t="str">
        <f>IFERROR(VLOOKUP(tbEquipe[[#This Row],[Nome]],tbFOPAG[[Nome]:[Cargo]],2,0),"&lt;Selecionar Nome&gt;")</f>
        <v>DESENVOLVEDOR FULL STACK SR</v>
      </c>
      <c r="C108" t="s">
        <v>45</v>
      </c>
      <c r="D108">
        <v>5</v>
      </c>
      <c r="E108">
        <f>176*tbEquipe[[#This Row],[Alocação]]</f>
        <v>58.666666666666664</v>
      </c>
      <c r="F108" s="337">
        <v>0.33333333333333331</v>
      </c>
      <c r="G1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08" s="1"/>
    </row>
    <row r="109" spans="1:14" x14ac:dyDescent="0.25">
      <c r="A109" s="68" t="s">
        <v>166</v>
      </c>
      <c r="B109" s="25" t="str">
        <f>IFERROR(VLOOKUP(tbEquipe[[#This Row],[Nome]],tbFOPAG[[Nome]:[Cargo]],2,0),"&lt;Selecionar Nome&gt;")</f>
        <v>DESENVOLVEDOR FULL STACK SR</v>
      </c>
      <c r="C109" t="s">
        <v>45</v>
      </c>
      <c r="D109">
        <v>6</v>
      </c>
      <c r="E109">
        <f>176*tbEquipe[[#This Row],[Alocação]]</f>
        <v>58.666666666666664</v>
      </c>
      <c r="F109" s="337">
        <v>0.33333333333333331</v>
      </c>
      <c r="G1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09" s="1"/>
    </row>
    <row r="110" spans="1:14" x14ac:dyDescent="0.25">
      <c r="A110" s="68" t="s">
        <v>166</v>
      </c>
      <c r="B110" s="25" t="str">
        <f>IFERROR(VLOOKUP(tbEquipe[[#This Row],[Nome]],tbFOPAG[[Nome]:[Cargo]],2,0),"&lt;Selecionar Nome&gt;")</f>
        <v>DESENVOLVEDOR FULL STACK SR</v>
      </c>
      <c r="C110" t="s">
        <v>45</v>
      </c>
      <c r="D110">
        <v>7</v>
      </c>
      <c r="E110">
        <f>176*tbEquipe[[#This Row],[Alocação]]</f>
        <v>58.666666666666664</v>
      </c>
      <c r="F110" s="337">
        <v>0.33333333333333331</v>
      </c>
      <c r="G1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0" s="1"/>
    </row>
    <row r="111" spans="1:14" x14ac:dyDescent="0.25">
      <c r="A111" s="68" t="s">
        <v>166</v>
      </c>
      <c r="B111" s="25" t="str">
        <f>IFERROR(VLOOKUP(tbEquipe[[#This Row],[Nome]],tbFOPAG[[Nome]:[Cargo]],2,0),"&lt;Selecionar Nome&gt;")</f>
        <v>DESENVOLVEDOR FULL STACK SR</v>
      </c>
      <c r="C111" t="s">
        <v>45</v>
      </c>
      <c r="D111">
        <v>8</v>
      </c>
      <c r="E111">
        <f>176*tbEquipe[[#This Row],[Alocação]]</f>
        <v>58.666666666666664</v>
      </c>
      <c r="F111" s="337">
        <v>0.33333333333333331</v>
      </c>
      <c r="G1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1" s="1"/>
      <c r="I111" s="1">
        <f>SUM(G104:G111)</f>
        <v>71003.072126666666</v>
      </c>
      <c r="J111" s="333">
        <f>SUM(F104:F111)</f>
        <v>2.6666666666666665</v>
      </c>
      <c r="K111" s="335">
        <f>J111/12</f>
        <v>0.22222222222222221</v>
      </c>
      <c r="M111" s="192">
        <v>4</v>
      </c>
      <c r="N111" s="335">
        <v>0.33333333333333331</v>
      </c>
    </row>
    <row r="112" spans="1:14" x14ac:dyDescent="0.25">
      <c r="A112" s="68" t="s">
        <v>166</v>
      </c>
      <c r="B112" s="25" t="str">
        <f>IFERROR(VLOOKUP(tbEquipe[[#This Row],[Nome]],tbFOPAG[[Nome]:[Cargo]],2,0),"&lt;Selecionar Nome&gt;")</f>
        <v>DESENVOLVEDOR FULL STACK SR</v>
      </c>
      <c r="C112" t="s">
        <v>45</v>
      </c>
      <c r="D112">
        <v>9</v>
      </c>
      <c r="E112">
        <f>176*tbEquipe[[#This Row],[Alocação]]</f>
        <v>58.666666666666664</v>
      </c>
      <c r="F112" s="337">
        <v>0.33333333333333331</v>
      </c>
      <c r="G1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2" s="1"/>
    </row>
    <row r="113" spans="1:14" x14ac:dyDescent="0.25">
      <c r="A113" s="68" t="s">
        <v>166</v>
      </c>
      <c r="B113" s="25" t="str">
        <f>IFERROR(VLOOKUP(tbEquipe[[#This Row],[Nome]],tbFOPAG[[Nome]:[Cargo]],2,0),"&lt;Selecionar Nome&gt;")</f>
        <v>DESENVOLVEDOR FULL STACK SR</v>
      </c>
      <c r="C113" t="s">
        <v>45</v>
      </c>
      <c r="D113">
        <v>10</v>
      </c>
      <c r="E113">
        <f>176*tbEquipe[[#This Row],[Alocação]]</f>
        <v>58.666666666666664</v>
      </c>
      <c r="F113" s="337">
        <v>0.33333333333333331</v>
      </c>
      <c r="G1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3" s="1"/>
    </row>
    <row r="114" spans="1:14" x14ac:dyDescent="0.25">
      <c r="A114" s="68" t="s">
        <v>166</v>
      </c>
      <c r="B114" s="25" t="str">
        <f>IFERROR(VLOOKUP(tbEquipe[[#This Row],[Nome]],tbFOPAG[[Nome]:[Cargo]],2,0),"&lt;Selecionar Nome&gt;")</f>
        <v>DESENVOLVEDOR FULL STACK SR</v>
      </c>
      <c r="C114" t="s">
        <v>45</v>
      </c>
      <c r="D114">
        <v>11</v>
      </c>
      <c r="E114">
        <f>176*tbEquipe[[#This Row],[Alocação]]</f>
        <v>58.666666666666664</v>
      </c>
      <c r="F114" s="337">
        <v>0.33333333333333331</v>
      </c>
      <c r="G1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4" s="1"/>
    </row>
    <row r="115" spans="1:14" x14ac:dyDescent="0.25">
      <c r="A115" s="68" t="s">
        <v>166</v>
      </c>
      <c r="B115" s="25" t="str">
        <f>IFERROR(VLOOKUP(tbEquipe[[#This Row],[Nome]],tbFOPAG[[Nome]:[Cargo]],2,0),"&lt;Selecionar Nome&gt;")</f>
        <v>DESENVOLVEDOR FULL STACK SR</v>
      </c>
      <c r="C115" t="s">
        <v>45</v>
      </c>
      <c r="D115">
        <v>12</v>
      </c>
      <c r="E115">
        <f>176*tbEquipe[[#This Row],[Alocação]]</f>
        <v>58.666666666666664</v>
      </c>
      <c r="F115" s="337">
        <v>0.33333333333333331</v>
      </c>
      <c r="G1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8923.9417799999992</v>
      </c>
      <c r="H115" s="1"/>
      <c r="I115" s="1"/>
    </row>
    <row r="116" spans="1:14" x14ac:dyDescent="0.25">
      <c r="A116" s="68" t="s">
        <v>166</v>
      </c>
      <c r="B116" s="25" t="str">
        <f>IFERROR(VLOOKUP(tbEquipe[[#This Row],[Nome]],tbFOPAG[[Nome]:[Cargo]],2,0),"&lt;Selecionar Nome&gt;")</f>
        <v>DESENVOLVEDOR FULL STACK SR</v>
      </c>
      <c r="C116" t="s">
        <v>45</v>
      </c>
      <c r="D116">
        <v>13</v>
      </c>
      <c r="E116">
        <f>176*tbEquipe[[#This Row],[Alocação]]</f>
        <v>0</v>
      </c>
      <c r="F116" s="34"/>
      <c r="G1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" s="1"/>
      <c r="I116" s="1"/>
    </row>
    <row r="117" spans="1:14" x14ac:dyDescent="0.25">
      <c r="A117" s="68" t="s">
        <v>166</v>
      </c>
      <c r="B117" s="25" t="str">
        <f>IFERROR(VLOOKUP(tbEquipe[[#This Row],[Nome]],tbFOPAG[[Nome]:[Cargo]],2,0),"&lt;Selecionar Nome&gt;")</f>
        <v>DESENVOLVEDOR FULL STACK SR</v>
      </c>
      <c r="C117" t="s">
        <v>45</v>
      </c>
      <c r="D117">
        <v>14</v>
      </c>
      <c r="E117">
        <f>176*tbEquipe[[#This Row],[Alocação]]</f>
        <v>0</v>
      </c>
      <c r="F117" s="34"/>
      <c r="G1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" s="1"/>
      <c r="I117" s="1"/>
    </row>
    <row r="118" spans="1:14" x14ac:dyDescent="0.25">
      <c r="A118" s="68" t="s">
        <v>166</v>
      </c>
      <c r="B118" s="25" t="str">
        <f>IFERROR(VLOOKUP(tbEquipe[[#This Row],[Nome]],tbFOPAG[[Nome]:[Cargo]],2,0),"&lt;Selecionar Nome&gt;")</f>
        <v>DESENVOLVEDOR FULL STACK SR</v>
      </c>
      <c r="C118" t="s">
        <v>45</v>
      </c>
      <c r="D118">
        <v>15</v>
      </c>
      <c r="E118">
        <f>176*tbEquipe[[#This Row],[Alocação]]</f>
        <v>0</v>
      </c>
      <c r="F118" s="34"/>
      <c r="G1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" s="1"/>
      <c r="I118" s="1">
        <f>SUM(G104:G118)</f>
        <v>106698.83924666664</v>
      </c>
    </row>
    <row r="119" spans="1:14" x14ac:dyDescent="0.25">
      <c r="A119" s="68" t="s">
        <v>168</v>
      </c>
      <c r="B119" s="25" t="str">
        <f>IFERROR(VLOOKUP(tbEquipe[[#This Row],[Nome]],tbFOPAG[[Nome]:[Cargo]],2,0),"&lt;Selecionar Nome&gt;")</f>
        <v>DESENVOLVEDOR FULLSTACK PL</v>
      </c>
      <c r="C119" t="s">
        <v>45</v>
      </c>
      <c r="D119">
        <v>1</v>
      </c>
      <c r="E119">
        <f>176*tbEquipe[[#This Row],[Alocação]]</f>
        <v>58.666666666666664</v>
      </c>
      <c r="F119" s="337">
        <v>0.33333333333333331</v>
      </c>
      <c r="G1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5200.2682607407414</v>
      </c>
      <c r="H119" s="1"/>
    </row>
    <row r="120" spans="1:14" x14ac:dyDescent="0.25">
      <c r="A120" s="68" t="s">
        <v>168</v>
      </c>
      <c r="B120" s="25" t="str">
        <f>IFERROR(VLOOKUP(tbEquipe[[#This Row],[Nome]],tbFOPAG[[Nome]:[Cargo]],2,0),"&lt;Selecionar Nome&gt;")</f>
        <v>DESENVOLVEDOR FULLSTACK PL</v>
      </c>
      <c r="C120" t="s">
        <v>45</v>
      </c>
      <c r="D120">
        <v>2</v>
      </c>
      <c r="E120">
        <f>176*tbEquipe[[#This Row],[Alocação]]</f>
        <v>58.666666666666664</v>
      </c>
      <c r="F120" s="337">
        <v>0.33333333333333331</v>
      </c>
      <c r="G1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0" s="1"/>
    </row>
    <row r="121" spans="1:14" x14ac:dyDescent="0.25">
      <c r="A121" s="68" t="s">
        <v>168</v>
      </c>
      <c r="B121" s="25" t="str">
        <f>IFERROR(VLOOKUP(tbEquipe[[#This Row],[Nome]],tbFOPAG[[Nome]:[Cargo]],2,0),"&lt;Selecionar Nome&gt;")</f>
        <v>DESENVOLVEDOR FULLSTACK PL</v>
      </c>
      <c r="C121" t="s">
        <v>45</v>
      </c>
      <c r="D121">
        <v>3</v>
      </c>
      <c r="E121">
        <f>176*tbEquipe[[#This Row],[Alocação]]</f>
        <v>58.666666666666664</v>
      </c>
      <c r="F121" s="337">
        <v>0.33333333333333331</v>
      </c>
      <c r="G1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1" s="1"/>
    </row>
    <row r="122" spans="1:14" x14ac:dyDescent="0.25">
      <c r="A122" s="68" t="s">
        <v>168</v>
      </c>
      <c r="B122" s="25" t="str">
        <f>IFERROR(VLOOKUP(tbEquipe[[#This Row],[Nome]],tbFOPAG[[Nome]:[Cargo]],2,0),"&lt;Selecionar Nome&gt;")</f>
        <v>DESENVOLVEDOR FULLSTACK PL</v>
      </c>
      <c r="C122" t="s">
        <v>45</v>
      </c>
      <c r="D122">
        <v>4</v>
      </c>
      <c r="E122">
        <f>176*tbEquipe[[#This Row],[Alocação]]</f>
        <v>58.666666666666664</v>
      </c>
      <c r="F122" s="337">
        <v>0.33333333333333331</v>
      </c>
      <c r="G1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2" s="1"/>
    </row>
    <row r="123" spans="1:14" x14ac:dyDescent="0.25">
      <c r="A123" s="68" t="s">
        <v>168</v>
      </c>
      <c r="B123" s="25" t="str">
        <f>IFERROR(VLOOKUP(tbEquipe[[#This Row],[Nome]],tbFOPAG[[Nome]:[Cargo]],2,0),"&lt;Selecionar Nome&gt;")</f>
        <v>DESENVOLVEDOR FULLSTACK PL</v>
      </c>
      <c r="C123" t="s">
        <v>45</v>
      </c>
      <c r="D123">
        <v>5</v>
      </c>
      <c r="E123">
        <f>176*tbEquipe[[#This Row],[Alocação]]</f>
        <v>58.666666666666664</v>
      </c>
      <c r="F123" s="337">
        <v>0.33333333333333331</v>
      </c>
      <c r="G1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3" s="1"/>
    </row>
    <row r="124" spans="1:14" x14ac:dyDescent="0.25">
      <c r="A124" s="68" t="s">
        <v>168</v>
      </c>
      <c r="B124" s="25" t="str">
        <f>IFERROR(VLOOKUP(tbEquipe[[#This Row],[Nome]],tbFOPAG[[Nome]:[Cargo]],2,0),"&lt;Selecionar Nome&gt;")</f>
        <v>DESENVOLVEDOR FULLSTACK PL</v>
      </c>
      <c r="C124" t="s">
        <v>45</v>
      </c>
      <c r="D124">
        <v>6</v>
      </c>
      <c r="E124">
        <f>176*tbEquipe[[#This Row],[Alocação]]</f>
        <v>58.666666666666664</v>
      </c>
      <c r="F124" s="337">
        <v>0.33333333333333331</v>
      </c>
      <c r="G1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4" s="1"/>
    </row>
    <row r="125" spans="1:14" x14ac:dyDescent="0.25">
      <c r="A125" s="68" t="s">
        <v>168</v>
      </c>
      <c r="B125" s="25" t="str">
        <f>IFERROR(VLOOKUP(tbEquipe[[#This Row],[Nome]],tbFOPAG[[Nome]:[Cargo]],2,0),"&lt;Selecionar Nome&gt;")</f>
        <v>DESENVOLVEDOR FULLSTACK PL</v>
      </c>
      <c r="C125" t="s">
        <v>45</v>
      </c>
      <c r="D125">
        <v>7</v>
      </c>
      <c r="E125">
        <f>176*tbEquipe[[#This Row],[Alocação]]</f>
        <v>58.666666666666664</v>
      </c>
      <c r="F125" s="337">
        <v>0.33333333333333331</v>
      </c>
      <c r="G1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5" s="1"/>
    </row>
    <row r="126" spans="1:14" x14ac:dyDescent="0.25">
      <c r="A126" s="68" t="s">
        <v>168</v>
      </c>
      <c r="B126" s="25" t="str">
        <f>IFERROR(VLOOKUP(tbEquipe[[#This Row],[Nome]],tbFOPAG[[Nome]:[Cargo]],2,0),"&lt;Selecionar Nome&gt;")</f>
        <v>DESENVOLVEDOR FULLSTACK PL</v>
      </c>
      <c r="C126" t="s">
        <v>45</v>
      </c>
      <c r="D126">
        <v>8</v>
      </c>
      <c r="E126">
        <f>176*tbEquipe[[#This Row],[Alocação]]</f>
        <v>58.666666666666664</v>
      </c>
      <c r="F126" s="337">
        <v>0.33333333333333331</v>
      </c>
      <c r="G1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6" s="1"/>
      <c r="I126" s="1">
        <f>SUM(G119:G126)</f>
        <v>42920.592088770383</v>
      </c>
      <c r="J126" s="333">
        <f>SUM(F119:F126)</f>
        <v>2.6666666666666665</v>
      </c>
      <c r="K126" s="335">
        <f>J126/12</f>
        <v>0.22222222222222221</v>
      </c>
      <c r="M126" s="192">
        <v>4</v>
      </c>
      <c r="N126" s="335">
        <v>0.33333333333333331</v>
      </c>
    </row>
    <row r="127" spans="1:14" x14ac:dyDescent="0.25">
      <c r="A127" s="68" t="s">
        <v>168</v>
      </c>
      <c r="B127" s="25" t="str">
        <f>IFERROR(VLOOKUP(tbEquipe[[#This Row],[Nome]],tbFOPAG[[Nome]:[Cargo]],2,0),"&lt;Selecionar Nome&gt;")</f>
        <v>DESENVOLVEDOR FULLSTACK PL</v>
      </c>
      <c r="C127" t="s">
        <v>45</v>
      </c>
      <c r="D127">
        <v>9</v>
      </c>
      <c r="E127">
        <f>176*tbEquipe[[#This Row],[Alocação]]</f>
        <v>58.666666666666664</v>
      </c>
      <c r="F127" s="337">
        <v>0.33333333333333331</v>
      </c>
      <c r="G1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7" s="1"/>
    </row>
    <row r="128" spans="1:14" x14ac:dyDescent="0.25">
      <c r="A128" s="68" t="s">
        <v>168</v>
      </c>
      <c r="B128" s="25" t="str">
        <f>IFERROR(VLOOKUP(tbEquipe[[#This Row],[Nome]],tbFOPAG[[Nome]:[Cargo]],2,0),"&lt;Selecionar Nome&gt;")</f>
        <v>DESENVOLVEDOR FULLSTACK PL</v>
      </c>
      <c r="C128" t="s">
        <v>45</v>
      </c>
      <c r="D128">
        <v>10</v>
      </c>
      <c r="E128">
        <f>176*tbEquipe[[#This Row],[Alocação]]</f>
        <v>58.666666666666664</v>
      </c>
      <c r="F128" s="337">
        <v>0.33333333333333331</v>
      </c>
      <c r="G1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8" s="1"/>
    </row>
    <row r="129" spans="1:14" x14ac:dyDescent="0.25">
      <c r="A129" s="68" t="s">
        <v>168</v>
      </c>
      <c r="B129" s="25" t="str">
        <f>IFERROR(VLOOKUP(tbEquipe[[#This Row],[Nome]],tbFOPAG[[Nome]:[Cargo]],2,0),"&lt;Selecionar Nome&gt;")</f>
        <v>DESENVOLVEDOR FULLSTACK PL</v>
      </c>
      <c r="C129" t="s">
        <v>45</v>
      </c>
      <c r="D129">
        <v>11</v>
      </c>
      <c r="E129">
        <f>176*tbEquipe[[#This Row],[Alocação]]</f>
        <v>58.666666666666664</v>
      </c>
      <c r="F129" s="337">
        <v>0.33333333333333331</v>
      </c>
      <c r="G1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29" s="1"/>
    </row>
    <row r="130" spans="1:14" x14ac:dyDescent="0.25">
      <c r="A130" s="68" t="s">
        <v>168</v>
      </c>
      <c r="B130" s="25" t="str">
        <f>IFERROR(VLOOKUP(tbEquipe[[#This Row],[Nome]],tbFOPAG[[Nome]:[Cargo]],2,0),"&lt;Selecionar Nome&gt;")</f>
        <v>DESENVOLVEDOR FULLSTACK PL</v>
      </c>
      <c r="C130" t="s">
        <v>45</v>
      </c>
      <c r="D130">
        <v>12</v>
      </c>
      <c r="E130">
        <f>176*tbEquipe[[#This Row],[Alocação]]</f>
        <v>58.666666666666664</v>
      </c>
      <c r="F130" s="337">
        <v>0.33333333333333331</v>
      </c>
      <c r="G1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5388.6176897185196</v>
      </c>
      <c r="H130" s="1"/>
      <c r="I130" s="1"/>
    </row>
    <row r="131" spans="1:14" x14ac:dyDescent="0.25">
      <c r="A131" s="68" t="s">
        <v>168</v>
      </c>
      <c r="B131" s="25" t="str">
        <f>IFERROR(VLOOKUP(tbEquipe[[#This Row],[Nome]],tbFOPAG[[Nome]:[Cargo]],2,0),"&lt;Selecionar Nome&gt;")</f>
        <v>DESENVOLVEDOR FULLSTACK PL</v>
      </c>
      <c r="C131" t="s">
        <v>45</v>
      </c>
      <c r="D131">
        <v>13</v>
      </c>
      <c r="E131">
        <f>176*tbEquipe[[#This Row],[Alocação]]</f>
        <v>0</v>
      </c>
      <c r="F131" s="34"/>
      <c r="G1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" s="1"/>
      <c r="I131" s="1"/>
    </row>
    <row r="132" spans="1:14" x14ac:dyDescent="0.25">
      <c r="A132" s="68" t="s">
        <v>168</v>
      </c>
      <c r="B132" s="25" t="str">
        <f>IFERROR(VLOOKUP(tbEquipe[[#This Row],[Nome]],tbFOPAG[[Nome]:[Cargo]],2,0),"&lt;Selecionar Nome&gt;")</f>
        <v>DESENVOLVEDOR FULLSTACK PL</v>
      </c>
      <c r="C132" t="s">
        <v>45</v>
      </c>
      <c r="D132">
        <v>14</v>
      </c>
      <c r="E132">
        <f>176*tbEquipe[[#This Row],[Alocação]]</f>
        <v>0</v>
      </c>
      <c r="F132" s="34"/>
      <c r="G1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" s="1"/>
      <c r="I132" s="1"/>
    </row>
    <row r="133" spans="1:14" x14ac:dyDescent="0.25">
      <c r="A133" s="68" t="s">
        <v>168</v>
      </c>
      <c r="B133" s="25" t="str">
        <f>IFERROR(VLOOKUP(tbEquipe[[#This Row],[Nome]],tbFOPAG[[Nome]:[Cargo]],2,0),"&lt;Selecionar Nome&gt;")</f>
        <v>DESENVOLVEDOR FULLSTACK PL</v>
      </c>
      <c r="C133" t="s">
        <v>45</v>
      </c>
      <c r="D133">
        <v>15</v>
      </c>
      <c r="E133">
        <f>176*tbEquipe[[#This Row],[Alocação]]</f>
        <v>0</v>
      </c>
      <c r="F133" s="34"/>
      <c r="G1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" s="1"/>
      <c r="I133" s="1">
        <f>SUM(G119:G133)</f>
        <v>64475.062847644469</v>
      </c>
    </row>
    <row r="134" spans="1:14" x14ac:dyDescent="0.25">
      <c r="A134" s="67" t="s">
        <v>300</v>
      </c>
      <c r="B134" s="25" t="str">
        <f>IFERROR(VLOOKUP(tbEquipe[[#This Row],[Nome]],tbFOPAG[[Nome]:[Cargo]],2,0),"&lt;Selecionar Nome&gt;")</f>
        <v>DESENVOLVEDOR BACK END JR</v>
      </c>
      <c r="C134" t="s">
        <v>45</v>
      </c>
      <c r="D134">
        <v>1</v>
      </c>
      <c r="E134">
        <f>176*tbEquipe[[#This Row],[Alocação]]</f>
        <v>110</v>
      </c>
      <c r="F134" s="337">
        <v>0.625</v>
      </c>
      <c r="G1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7115.4475273744447</v>
      </c>
      <c r="H134" s="1"/>
    </row>
    <row r="135" spans="1:14" x14ac:dyDescent="0.25">
      <c r="A135" s="67" t="s">
        <v>300</v>
      </c>
      <c r="B135" s="25" t="str">
        <f>IFERROR(VLOOKUP(tbEquipe[[#This Row],[Nome]],tbFOPAG[[Nome]:[Cargo]],2,0),"&lt;Selecionar Nome&gt;")</f>
        <v>DESENVOLVEDOR BACK END JR</v>
      </c>
      <c r="C135" t="s">
        <v>45</v>
      </c>
      <c r="D135">
        <v>2</v>
      </c>
      <c r="E135">
        <f>176*tbEquipe[[#This Row],[Alocação]]</f>
        <v>110</v>
      </c>
      <c r="F135" s="337">
        <v>0.625</v>
      </c>
      <c r="G1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35" s="1"/>
    </row>
    <row r="136" spans="1:14" x14ac:dyDescent="0.25">
      <c r="A136" s="67" t="s">
        <v>300</v>
      </c>
      <c r="B136" s="25" t="str">
        <f>IFERROR(VLOOKUP(tbEquipe[[#This Row],[Nome]],tbFOPAG[[Nome]:[Cargo]],2,0),"&lt;Selecionar Nome&gt;")</f>
        <v>DESENVOLVEDOR BACK END JR</v>
      </c>
      <c r="C136" t="s">
        <v>45</v>
      </c>
      <c r="D136">
        <v>3</v>
      </c>
      <c r="E136">
        <f>176*tbEquipe[[#This Row],[Alocação]]</f>
        <v>110</v>
      </c>
      <c r="F136" s="337">
        <v>0.625</v>
      </c>
      <c r="G1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36" s="1"/>
    </row>
    <row r="137" spans="1:14" x14ac:dyDescent="0.25">
      <c r="A137" s="67" t="s">
        <v>300</v>
      </c>
      <c r="B137" s="25" t="str">
        <f>IFERROR(VLOOKUP(tbEquipe[[#This Row],[Nome]],tbFOPAG[[Nome]:[Cargo]],2,0),"&lt;Selecionar Nome&gt;")</f>
        <v>DESENVOLVEDOR BACK END JR</v>
      </c>
      <c r="C137" t="s">
        <v>45</v>
      </c>
      <c r="D137">
        <v>4</v>
      </c>
      <c r="E137">
        <f>176*tbEquipe[[#This Row],[Alocação]]</f>
        <v>110</v>
      </c>
      <c r="F137" s="337">
        <v>0.625</v>
      </c>
      <c r="G1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37" s="1"/>
    </row>
    <row r="138" spans="1:14" x14ac:dyDescent="0.25">
      <c r="A138" s="67" t="s">
        <v>300</v>
      </c>
      <c r="B138" s="25" t="str">
        <f>IFERROR(VLOOKUP(tbEquipe[[#This Row],[Nome]],tbFOPAG[[Nome]:[Cargo]],2,0),"&lt;Selecionar Nome&gt;")</f>
        <v>DESENVOLVEDOR BACK END JR</v>
      </c>
      <c r="C138" t="s">
        <v>45</v>
      </c>
      <c r="D138">
        <v>5</v>
      </c>
      <c r="E138">
        <f>176*tbEquipe[[#This Row],[Alocação]]</f>
        <v>110</v>
      </c>
      <c r="F138" s="337">
        <v>0.625</v>
      </c>
      <c r="G1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38" s="1"/>
    </row>
    <row r="139" spans="1:14" x14ac:dyDescent="0.25">
      <c r="A139" s="67" t="s">
        <v>300</v>
      </c>
      <c r="B139" s="25" t="str">
        <f>IFERROR(VLOOKUP(tbEquipe[[#This Row],[Nome]],tbFOPAG[[Nome]:[Cargo]],2,0),"&lt;Selecionar Nome&gt;")</f>
        <v>DESENVOLVEDOR BACK END JR</v>
      </c>
      <c r="C139" t="s">
        <v>45</v>
      </c>
      <c r="D139">
        <v>6</v>
      </c>
      <c r="E139">
        <f>176*tbEquipe[[#This Row],[Alocação]]</f>
        <v>110</v>
      </c>
      <c r="F139" s="337">
        <v>0.625</v>
      </c>
      <c r="G1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39" s="1"/>
    </row>
    <row r="140" spans="1:14" x14ac:dyDescent="0.25">
      <c r="A140" s="67" t="s">
        <v>300</v>
      </c>
      <c r="B140" s="25" t="str">
        <f>IFERROR(VLOOKUP(tbEquipe[[#This Row],[Nome]],tbFOPAG[[Nome]:[Cargo]],2,0),"&lt;Selecionar Nome&gt;")</f>
        <v>DESENVOLVEDOR BACK END JR</v>
      </c>
      <c r="C140" t="s">
        <v>45</v>
      </c>
      <c r="D140">
        <v>7</v>
      </c>
      <c r="E140">
        <f>176*tbEquipe[[#This Row],[Alocação]]</f>
        <v>110</v>
      </c>
      <c r="F140" s="337">
        <v>0.625</v>
      </c>
      <c r="G1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0" s="1"/>
    </row>
    <row r="141" spans="1:14" x14ac:dyDescent="0.25">
      <c r="A141" s="67" t="s">
        <v>300</v>
      </c>
      <c r="B141" s="25" t="str">
        <f>IFERROR(VLOOKUP(tbEquipe[[#This Row],[Nome]],tbFOPAG[[Nome]:[Cargo]],2,0),"&lt;Selecionar Nome&gt;")</f>
        <v>DESENVOLVEDOR BACK END JR</v>
      </c>
      <c r="C141" t="s">
        <v>45</v>
      </c>
      <c r="D141">
        <v>8</v>
      </c>
      <c r="E141">
        <f>176*tbEquipe[[#This Row],[Alocação]]</f>
        <v>110</v>
      </c>
      <c r="F141" s="337">
        <v>0.625</v>
      </c>
      <c r="G1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1" s="1"/>
      <c r="I141" s="1">
        <f>SUM(G134:G141)</f>
        <v>58288.943180492817</v>
      </c>
      <c r="J141" s="333">
        <f>SUM(F134:F141)</f>
        <v>5</v>
      </c>
      <c r="K141" s="335">
        <f>J141/12</f>
        <v>0.41666666666666669</v>
      </c>
      <c r="M141" s="192">
        <v>7.5</v>
      </c>
      <c r="N141" s="335">
        <v>0.625</v>
      </c>
    </row>
    <row r="142" spans="1:14" x14ac:dyDescent="0.25">
      <c r="A142" s="67" t="s">
        <v>300</v>
      </c>
      <c r="B142" s="25" t="str">
        <f>IFERROR(VLOOKUP(tbEquipe[[#This Row],[Nome]],tbFOPAG[[Nome]:[Cargo]],2,0),"&lt;Selecionar Nome&gt;")</f>
        <v>DESENVOLVEDOR BACK END JR</v>
      </c>
      <c r="C142" t="s">
        <v>45</v>
      </c>
      <c r="D142">
        <v>9</v>
      </c>
      <c r="E142">
        <f>176*tbEquipe[[#This Row],[Alocação]]</f>
        <v>110</v>
      </c>
      <c r="F142" s="337">
        <v>0.625</v>
      </c>
      <c r="G1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2" s="1"/>
    </row>
    <row r="143" spans="1:14" x14ac:dyDescent="0.25">
      <c r="A143" s="67" t="s">
        <v>300</v>
      </c>
      <c r="B143" s="25" t="str">
        <f>IFERROR(VLOOKUP(tbEquipe[[#This Row],[Nome]],tbFOPAG[[Nome]:[Cargo]],2,0),"&lt;Selecionar Nome&gt;")</f>
        <v>DESENVOLVEDOR BACK END JR</v>
      </c>
      <c r="C143" t="s">
        <v>45</v>
      </c>
      <c r="D143">
        <v>10</v>
      </c>
      <c r="E143">
        <f>176*tbEquipe[[#This Row],[Alocação]]</f>
        <v>110</v>
      </c>
      <c r="F143" s="337">
        <v>0.625</v>
      </c>
      <c r="G1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3" s="1"/>
    </row>
    <row r="144" spans="1:14" x14ac:dyDescent="0.25">
      <c r="A144" s="67" t="s">
        <v>300</v>
      </c>
      <c r="B144" s="25" t="str">
        <f>IFERROR(VLOOKUP(tbEquipe[[#This Row],[Nome]],tbFOPAG[[Nome]:[Cargo]],2,0),"&lt;Selecionar Nome&gt;")</f>
        <v>DESENVOLVEDOR BACK END JR</v>
      </c>
      <c r="C144" t="s">
        <v>45</v>
      </c>
      <c r="D144">
        <v>11</v>
      </c>
      <c r="E144">
        <f>176*tbEquipe[[#This Row],[Alocação]]</f>
        <v>110</v>
      </c>
      <c r="F144" s="337">
        <v>0.625</v>
      </c>
      <c r="G1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4" s="1"/>
    </row>
    <row r="145" spans="1:14" x14ac:dyDescent="0.25">
      <c r="A145" s="67" t="s">
        <v>300</v>
      </c>
      <c r="B145" s="25" t="str">
        <f>IFERROR(VLOOKUP(tbEquipe[[#This Row],[Nome]],tbFOPAG[[Nome]:[Cargo]],2,0),"&lt;Selecionar Nome&gt;")</f>
        <v>DESENVOLVEDOR BACK END JR</v>
      </c>
      <c r="C145" t="s">
        <v>45</v>
      </c>
      <c r="D145">
        <v>12</v>
      </c>
      <c r="E145">
        <f>176*tbEquipe[[#This Row],[Alocação]]</f>
        <v>110</v>
      </c>
      <c r="F145" s="337">
        <v>0.625</v>
      </c>
      <c r="G1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7310.4993790169119</v>
      </c>
      <c r="H145" s="1"/>
      <c r="I145" s="1"/>
    </row>
    <row r="146" spans="1:14" x14ac:dyDescent="0.25">
      <c r="A146" s="67" t="s">
        <v>300</v>
      </c>
      <c r="B146" s="25" t="str">
        <f>IFERROR(VLOOKUP(tbEquipe[[#This Row],[Nome]],tbFOPAG[[Nome]:[Cargo]],2,0),"&lt;Selecionar Nome&gt;")</f>
        <v>DESENVOLVEDOR BACK END JR</v>
      </c>
      <c r="C146" t="s">
        <v>45</v>
      </c>
      <c r="D146">
        <v>13</v>
      </c>
      <c r="E146">
        <f>176*tbEquipe[[#This Row],[Alocação]]</f>
        <v>0</v>
      </c>
      <c r="F146" s="34"/>
      <c r="G1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" s="1"/>
      <c r="I146" s="1"/>
    </row>
    <row r="147" spans="1:14" x14ac:dyDescent="0.25">
      <c r="A147" s="67" t="s">
        <v>300</v>
      </c>
      <c r="B147" s="25" t="str">
        <f>IFERROR(VLOOKUP(tbEquipe[[#This Row],[Nome]],tbFOPAG[[Nome]:[Cargo]],2,0),"&lt;Selecionar Nome&gt;")</f>
        <v>DESENVOLVEDOR BACK END JR</v>
      </c>
      <c r="C147" t="s">
        <v>45</v>
      </c>
      <c r="D147">
        <v>14</v>
      </c>
      <c r="E147">
        <f>176*tbEquipe[[#This Row],[Alocação]]</f>
        <v>0</v>
      </c>
      <c r="F147" s="34"/>
      <c r="G1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" s="1"/>
      <c r="I147" s="1"/>
    </row>
    <row r="148" spans="1:14" x14ac:dyDescent="0.25">
      <c r="A148" s="67" t="s">
        <v>300</v>
      </c>
      <c r="B148" s="25" t="str">
        <f>IFERROR(VLOOKUP(tbEquipe[[#This Row],[Nome]],tbFOPAG[[Nome]:[Cargo]],2,0),"&lt;Selecionar Nome&gt;")</f>
        <v>DESENVOLVEDOR BACK END JR</v>
      </c>
      <c r="C148" t="s">
        <v>45</v>
      </c>
      <c r="D148">
        <v>15</v>
      </c>
      <c r="E148">
        <f>176*tbEquipe[[#This Row],[Alocação]]</f>
        <v>0</v>
      </c>
      <c r="F148" s="34"/>
      <c r="G1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" s="1"/>
      <c r="I148" s="1">
        <f>SUM(G134:G148)</f>
        <v>87530.940696560458</v>
      </c>
    </row>
    <row r="149" spans="1:14" x14ac:dyDescent="0.25">
      <c r="A149" s="68" t="s">
        <v>320</v>
      </c>
      <c r="B149" s="25" t="str">
        <f>IFERROR(VLOOKUP(tbEquipe[[#This Row],[Nome]],tbFOPAG[[Nome]:[Cargo]],2,0),"&lt;Selecionar Nome&gt;")</f>
        <v>ANALISTA DE TESTE JR</v>
      </c>
      <c r="C149" t="s">
        <v>45</v>
      </c>
      <c r="D149">
        <v>1</v>
      </c>
      <c r="E149">
        <f>176*tbEquipe[[#This Row],[Alocação]]</f>
        <v>33.880000000000003</v>
      </c>
      <c r="F149" s="337">
        <v>0.1925</v>
      </c>
      <c r="G1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2118.1901667230577</v>
      </c>
      <c r="H149" s="1"/>
    </row>
    <row r="150" spans="1:14" x14ac:dyDescent="0.25">
      <c r="A150" s="68" t="s">
        <v>320</v>
      </c>
      <c r="B150" s="25" t="str">
        <f>IFERROR(VLOOKUP(tbEquipe[[#This Row],[Nome]],tbFOPAG[[Nome]:[Cargo]],2,0),"&lt;Selecionar Nome&gt;")</f>
        <v>ANALISTA DE TESTE JR</v>
      </c>
      <c r="C150" t="s">
        <v>45</v>
      </c>
      <c r="D150">
        <v>2</v>
      </c>
      <c r="E150">
        <f>176*tbEquipe[[#This Row],[Alocação]]</f>
        <v>33.880000000000003</v>
      </c>
      <c r="F150" s="337">
        <v>0.1925</v>
      </c>
      <c r="G1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0" s="1"/>
    </row>
    <row r="151" spans="1:14" x14ac:dyDescent="0.25">
      <c r="A151" s="68" t="s">
        <v>320</v>
      </c>
      <c r="B151" s="25" t="str">
        <f>IFERROR(VLOOKUP(tbEquipe[[#This Row],[Nome]],tbFOPAG[[Nome]:[Cargo]],2,0),"&lt;Selecionar Nome&gt;")</f>
        <v>ANALISTA DE TESTE JR</v>
      </c>
      <c r="C151" t="s">
        <v>45</v>
      </c>
      <c r="D151">
        <v>3</v>
      </c>
      <c r="E151">
        <f>176*tbEquipe[[#This Row],[Alocação]]</f>
        <v>33.880000000000003</v>
      </c>
      <c r="F151" s="337">
        <v>0.1925</v>
      </c>
      <c r="G1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1" s="1"/>
    </row>
    <row r="152" spans="1:14" x14ac:dyDescent="0.25">
      <c r="A152" s="68" t="s">
        <v>320</v>
      </c>
      <c r="B152" s="25" t="str">
        <f>IFERROR(VLOOKUP(tbEquipe[[#This Row],[Nome]],tbFOPAG[[Nome]:[Cargo]],2,0),"&lt;Selecionar Nome&gt;")</f>
        <v>ANALISTA DE TESTE JR</v>
      </c>
      <c r="C152" t="s">
        <v>45</v>
      </c>
      <c r="D152">
        <v>4</v>
      </c>
      <c r="E152">
        <f>176*tbEquipe[[#This Row],[Alocação]]</f>
        <v>33.880000000000003</v>
      </c>
      <c r="F152" s="337">
        <v>0.1925</v>
      </c>
      <c r="G1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2" s="1"/>
    </row>
    <row r="153" spans="1:14" x14ac:dyDescent="0.25">
      <c r="A153" s="68" t="s">
        <v>320</v>
      </c>
      <c r="B153" s="25" t="str">
        <f>IFERROR(VLOOKUP(tbEquipe[[#This Row],[Nome]],tbFOPAG[[Nome]:[Cargo]],2,0),"&lt;Selecionar Nome&gt;")</f>
        <v>ANALISTA DE TESTE JR</v>
      </c>
      <c r="C153" t="s">
        <v>45</v>
      </c>
      <c r="D153">
        <v>5</v>
      </c>
      <c r="E153">
        <f>176*tbEquipe[[#This Row],[Alocação]]</f>
        <v>33.880000000000003</v>
      </c>
      <c r="F153" s="337">
        <v>0.1925</v>
      </c>
      <c r="G1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3" s="1"/>
    </row>
    <row r="154" spans="1:14" x14ac:dyDescent="0.25">
      <c r="A154" s="68" t="s">
        <v>320</v>
      </c>
      <c r="B154" s="25" t="str">
        <f>IFERROR(VLOOKUP(tbEquipe[[#This Row],[Nome]],tbFOPAG[[Nome]:[Cargo]],2,0),"&lt;Selecionar Nome&gt;")</f>
        <v>ANALISTA DE TESTE JR</v>
      </c>
      <c r="C154" t="s">
        <v>45</v>
      </c>
      <c r="D154">
        <v>6</v>
      </c>
      <c r="E154">
        <f>176*tbEquipe[[#This Row],[Alocação]]</f>
        <v>33.880000000000003</v>
      </c>
      <c r="F154" s="337">
        <v>0.1925</v>
      </c>
      <c r="G1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4" s="1"/>
    </row>
    <row r="155" spans="1:14" x14ac:dyDescent="0.25">
      <c r="A155" s="68" t="s">
        <v>320</v>
      </c>
      <c r="B155" s="25" t="str">
        <f>IFERROR(VLOOKUP(tbEquipe[[#This Row],[Nome]],tbFOPAG[[Nome]:[Cargo]],2,0),"&lt;Selecionar Nome&gt;")</f>
        <v>ANALISTA DE TESTE JR</v>
      </c>
      <c r="C155" t="s">
        <v>45</v>
      </c>
      <c r="D155">
        <v>7</v>
      </c>
      <c r="E155">
        <f>176*tbEquipe[[#This Row],[Alocação]]</f>
        <v>33.880000000000003</v>
      </c>
      <c r="F155" s="337">
        <v>0.1925</v>
      </c>
      <c r="G1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5" s="1"/>
    </row>
    <row r="156" spans="1:14" x14ac:dyDescent="0.25">
      <c r="A156" s="68" t="s">
        <v>320</v>
      </c>
      <c r="B156" s="25" t="str">
        <f>IFERROR(VLOOKUP(tbEquipe[[#This Row],[Nome]],tbFOPAG[[Nome]:[Cargo]],2,0),"&lt;Selecionar Nome&gt;")</f>
        <v>ANALISTA DE TESTE JR</v>
      </c>
      <c r="C156" t="s">
        <v>45</v>
      </c>
      <c r="D156">
        <v>8</v>
      </c>
      <c r="E156">
        <f>176*tbEquipe[[#This Row],[Alocação]]</f>
        <v>33.880000000000003</v>
      </c>
      <c r="F156" s="337">
        <v>0.1925</v>
      </c>
      <c r="G1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6" s="1"/>
      <c r="I156" s="1">
        <f>SUM(G149:G156)</f>
        <v>17335.238703808143</v>
      </c>
      <c r="J156" s="333">
        <f>SUM(F149:F156)</f>
        <v>1.54</v>
      </c>
      <c r="K156" s="335">
        <f>J156/12</f>
        <v>0.12833333333333333</v>
      </c>
      <c r="M156" s="192">
        <v>2.31</v>
      </c>
      <c r="N156" s="335">
        <v>0.1925</v>
      </c>
    </row>
    <row r="157" spans="1:14" x14ac:dyDescent="0.25">
      <c r="A157" s="68" t="s">
        <v>320</v>
      </c>
      <c r="B157" s="25" t="str">
        <f>IFERROR(VLOOKUP(tbEquipe[[#This Row],[Nome]],tbFOPAG[[Nome]:[Cargo]],2,0),"&lt;Selecionar Nome&gt;")</f>
        <v>ANALISTA DE TESTE JR</v>
      </c>
      <c r="C157" t="s">
        <v>45</v>
      </c>
      <c r="D157">
        <v>9</v>
      </c>
      <c r="E157">
        <f>176*tbEquipe[[#This Row],[Alocação]]</f>
        <v>33.880000000000003</v>
      </c>
      <c r="F157" s="337">
        <v>0.1925</v>
      </c>
      <c r="G1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7" s="1"/>
    </row>
    <row r="158" spans="1:14" x14ac:dyDescent="0.25">
      <c r="A158" s="68" t="s">
        <v>320</v>
      </c>
      <c r="B158" s="25" t="str">
        <f>IFERROR(VLOOKUP(tbEquipe[[#This Row],[Nome]],tbFOPAG[[Nome]:[Cargo]],2,0),"&lt;Selecionar Nome&gt;")</f>
        <v>ANALISTA DE TESTE JR</v>
      </c>
      <c r="C158" t="s">
        <v>45</v>
      </c>
      <c r="D158">
        <v>10</v>
      </c>
      <c r="E158">
        <f>176*tbEquipe[[#This Row],[Alocação]]</f>
        <v>33.880000000000003</v>
      </c>
      <c r="F158" s="337">
        <v>0.1925</v>
      </c>
      <c r="G1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8" s="1"/>
    </row>
    <row r="159" spans="1:14" x14ac:dyDescent="0.25">
      <c r="A159" s="68" t="s">
        <v>320</v>
      </c>
      <c r="B159" s="25" t="str">
        <f>IFERROR(VLOOKUP(tbEquipe[[#This Row],[Nome]],tbFOPAG[[Nome]:[Cargo]],2,0),"&lt;Selecionar Nome&gt;")</f>
        <v>ANALISTA DE TESTE JR</v>
      </c>
      <c r="C159" t="s">
        <v>45</v>
      </c>
      <c r="D159">
        <v>11</v>
      </c>
      <c r="E159">
        <f>176*tbEquipe[[#This Row],[Alocação]]</f>
        <v>33.880000000000003</v>
      </c>
      <c r="F159" s="337">
        <v>0.1925</v>
      </c>
      <c r="G1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59" s="1"/>
    </row>
    <row r="160" spans="1:14" x14ac:dyDescent="0.25">
      <c r="A160" s="68" t="s">
        <v>320</v>
      </c>
      <c r="B160" s="25" t="str">
        <f>IFERROR(VLOOKUP(tbEquipe[[#This Row],[Nome]],tbFOPAG[[Nome]:[Cargo]],2,0),"&lt;Selecionar Nome&gt;")</f>
        <v>ANALISTA DE TESTE JR</v>
      </c>
      <c r="C160" t="s">
        <v>45</v>
      </c>
      <c r="D160">
        <v>12</v>
      </c>
      <c r="E160">
        <f>176*tbEquipe[[#This Row],[Alocação]]</f>
        <v>33.880000000000003</v>
      </c>
      <c r="F160" s="337">
        <v>0.1925</v>
      </c>
      <c r="G1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2173.8640767264415</v>
      </c>
      <c r="H160" s="1"/>
      <c r="I160" s="1"/>
    </row>
    <row r="161" spans="1:14" x14ac:dyDescent="0.25">
      <c r="A161" s="68" t="s">
        <v>320</v>
      </c>
      <c r="B161" s="25" t="str">
        <f>IFERROR(VLOOKUP(tbEquipe[[#This Row],[Nome]],tbFOPAG[[Nome]:[Cargo]],2,0),"&lt;Selecionar Nome&gt;")</f>
        <v>ANALISTA DE TESTE JR</v>
      </c>
      <c r="C161" t="s">
        <v>45</v>
      </c>
      <c r="D161">
        <v>13</v>
      </c>
      <c r="E161">
        <f>176*tbEquipe[[#This Row],[Alocação]]</f>
        <v>0</v>
      </c>
      <c r="F161" s="34"/>
      <c r="G1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61" s="1"/>
      <c r="I161" s="1"/>
    </row>
    <row r="162" spans="1:14" x14ac:dyDescent="0.25">
      <c r="A162" s="68" t="s">
        <v>320</v>
      </c>
      <c r="B162" s="25" t="str">
        <f>IFERROR(VLOOKUP(tbEquipe[[#This Row],[Nome]],tbFOPAG[[Nome]:[Cargo]],2,0),"&lt;Selecionar Nome&gt;")</f>
        <v>ANALISTA DE TESTE JR</v>
      </c>
      <c r="C162" t="s">
        <v>45</v>
      </c>
      <c r="D162">
        <v>14</v>
      </c>
      <c r="E162">
        <f>176*tbEquipe[[#This Row],[Alocação]]</f>
        <v>0</v>
      </c>
      <c r="F162" s="34"/>
      <c r="G1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62" s="1"/>
      <c r="I162" s="1"/>
    </row>
    <row r="163" spans="1:14" x14ac:dyDescent="0.25">
      <c r="A163" s="68" t="s">
        <v>320</v>
      </c>
      <c r="B163" s="25" t="str">
        <f>IFERROR(VLOOKUP(tbEquipe[[#This Row],[Nome]],tbFOPAG[[Nome]:[Cargo]],2,0),"&lt;Selecionar Nome&gt;")</f>
        <v>ANALISTA DE TESTE JR</v>
      </c>
      <c r="C163" t="s">
        <v>45</v>
      </c>
      <c r="D163">
        <v>15</v>
      </c>
      <c r="E163">
        <f>176*tbEquipe[[#This Row],[Alocação]]</f>
        <v>0</v>
      </c>
      <c r="F163" s="34"/>
      <c r="G1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63" s="1"/>
      <c r="I163" s="1">
        <f>SUM(G149:G163)</f>
        <v>26030.695010713906</v>
      </c>
    </row>
    <row r="164" spans="1:14" x14ac:dyDescent="0.25">
      <c r="A164" t="s">
        <v>210</v>
      </c>
      <c r="B164" s="25" t="str">
        <f>IFERROR(VLOOKUP(tbEquipe[[#This Row],[Nome]],tbFOPAG[[Nome]:[Cargo]],2,0),"&lt;Selecionar Nome&gt;")</f>
        <v>ESTAGIARIO I</v>
      </c>
      <c r="C164" t="s">
        <v>45</v>
      </c>
      <c r="D164">
        <v>1</v>
      </c>
      <c r="E164">
        <f>176*tbEquipe[[#This Row],[Alocação]]</f>
        <v>117.33333333333333</v>
      </c>
      <c r="F164" s="337">
        <v>0.66666666666666663</v>
      </c>
      <c r="G1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3113.4740496746667</v>
      </c>
      <c r="H164" s="1"/>
    </row>
    <row r="165" spans="1:14" x14ac:dyDescent="0.25">
      <c r="A165" t="s">
        <v>210</v>
      </c>
      <c r="B165" s="25" t="str">
        <f>IFERROR(VLOOKUP(tbEquipe[[#This Row],[Nome]],tbFOPAG[[Nome]:[Cargo]],2,0),"&lt;Selecionar Nome&gt;")</f>
        <v>ESTAGIARIO I</v>
      </c>
      <c r="C165" t="s">
        <v>45</v>
      </c>
      <c r="D165">
        <v>2</v>
      </c>
      <c r="E165">
        <f>176*tbEquipe[[#This Row],[Alocação]]</f>
        <v>117.33333333333333</v>
      </c>
      <c r="F165" s="337">
        <v>0.66666666666666663</v>
      </c>
      <c r="G1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65" s="1"/>
    </row>
    <row r="166" spans="1:14" x14ac:dyDescent="0.25">
      <c r="A166" t="s">
        <v>210</v>
      </c>
      <c r="B166" s="25" t="str">
        <f>IFERROR(VLOOKUP(tbEquipe[[#This Row],[Nome]],tbFOPAG[[Nome]:[Cargo]],2,0),"&lt;Selecionar Nome&gt;")</f>
        <v>ESTAGIARIO I</v>
      </c>
      <c r="C166" t="s">
        <v>45</v>
      </c>
      <c r="D166">
        <v>3</v>
      </c>
      <c r="E166">
        <f>176*tbEquipe[[#This Row],[Alocação]]</f>
        <v>117.33333333333333</v>
      </c>
      <c r="F166" s="337">
        <v>0.66666666666666663</v>
      </c>
      <c r="G1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66" s="1"/>
    </row>
    <row r="167" spans="1:14" x14ac:dyDescent="0.25">
      <c r="A167" t="s">
        <v>210</v>
      </c>
      <c r="B167" s="25" t="str">
        <f>IFERROR(VLOOKUP(tbEquipe[[#This Row],[Nome]],tbFOPAG[[Nome]:[Cargo]],2,0),"&lt;Selecionar Nome&gt;")</f>
        <v>ESTAGIARIO I</v>
      </c>
      <c r="C167" t="s">
        <v>45</v>
      </c>
      <c r="D167">
        <v>4</v>
      </c>
      <c r="E167">
        <f>176*tbEquipe[[#This Row],[Alocação]]</f>
        <v>117.33333333333333</v>
      </c>
      <c r="F167" s="337">
        <v>0.66666666666666663</v>
      </c>
      <c r="G1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67" s="1"/>
    </row>
    <row r="168" spans="1:14" x14ac:dyDescent="0.25">
      <c r="A168" t="s">
        <v>210</v>
      </c>
      <c r="B168" s="25" t="str">
        <f>IFERROR(VLOOKUP(tbEquipe[[#This Row],[Nome]],tbFOPAG[[Nome]:[Cargo]],2,0),"&lt;Selecionar Nome&gt;")</f>
        <v>ESTAGIARIO I</v>
      </c>
      <c r="C168" t="s">
        <v>45</v>
      </c>
      <c r="D168">
        <v>5</v>
      </c>
      <c r="E168">
        <f>176*tbEquipe[[#This Row],[Alocação]]</f>
        <v>117.33333333333333</v>
      </c>
      <c r="F168" s="337">
        <v>0.66666666666666663</v>
      </c>
      <c r="G1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68" s="1"/>
    </row>
    <row r="169" spans="1:14" x14ac:dyDescent="0.25">
      <c r="A169" t="s">
        <v>210</v>
      </c>
      <c r="B169" s="25" t="str">
        <f>IFERROR(VLOOKUP(tbEquipe[[#This Row],[Nome]],tbFOPAG[[Nome]:[Cargo]],2,0),"&lt;Selecionar Nome&gt;")</f>
        <v>ESTAGIARIO I</v>
      </c>
      <c r="C169" t="s">
        <v>45</v>
      </c>
      <c r="D169">
        <v>6</v>
      </c>
      <c r="E169">
        <f>176*tbEquipe[[#This Row],[Alocação]]</f>
        <v>117.33333333333333</v>
      </c>
      <c r="F169" s="337">
        <v>0.66666666666666663</v>
      </c>
      <c r="G1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69" s="1"/>
    </row>
    <row r="170" spans="1:14" x14ac:dyDescent="0.25">
      <c r="A170" t="s">
        <v>210</v>
      </c>
      <c r="B170" s="25" t="str">
        <f>IFERROR(VLOOKUP(tbEquipe[[#This Row],[Nome]],tbFOPAG[[Nome]:[Cargo]],2,0),"&lt;Selecionar Nome&gt;")</f>
        <v>ESTAGIARIO I</v>
      </c>
      <c r="C170" t="s">
        <v>45</v>
      </c>
      <c r="D170">
        <v>7</v>
      </c>
      <c r="E170">
        <f>176*tbEquipe[[#This Row],[Alocação]]</f>
        <v>117.33333333333333</v>
      </c>
      <c r="F170" s="337">
        <v>0.66666666666666663</v>
      </c>
      <c r="G1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70" s="1"/>
    </row>
    <row r="171" spans="1:14" x14ac:dyDescent="0.25">
      <c r="A171" t="s">
        <v>210</v>
      </c>
      <c r="B171" s="25" t="str">
        <f>IFERROR(VLOOKUP(tbEquipe[[#This Row],[Nome]],tbFOPAG[[Nome]:[Cargo]],2,0),"&lt;Selecionar Nome&gt;")</f>
        <v>ESTAGIARIO I</v>
      </c>
      <c r="C171" t="s">
        <v>45</v>
      </c>
      <c r="D171">
        <v>8</v>
      </c>
      <c r="E171">
        <f>176*tbEquipe[[#This Row],[Alocação]]</f>
        <v>117.33333333333333</v>
      </c>
      <c r="F171" s="337">
        <v>0.66666666666666663</v>
      </c>
      <c r="G1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3052.9491593218136</v>
      </c>
      <c r="H171" s="1"/>
      <c r="I171" s="1">
        <f>SUM(G164:G171)</f>
        <v>24484.118164927357</v>
      </c>
      <c r="J171" s="333">
        <f>SUM(F164:F171)</f>
        <v>5.333333333333333</v>
      </c>
      <c r="K171" s="335">
        <f>J171/12</f>
        <v>0.44444444444444442</v>
      </c>
      <c r="M171" s="192">
        <v>8</v>
      </c>
      <c r="N171" s="335">
        <v>0.66666666666666663</v>
      </c>
    </row>
    <row r="172" spans="1:14" x14ac:dyDescent="0.25">
      <c r="A172" t="s">
        <v>210</v>
      </c>
      <c r="B172" s="25" t="str">
        <f>IFERROR(VLOOKUP(tbEquipe[[#This Row],[Nome]],tbFOPAG[[Nome]:[Cargo]],2,0),"&lt;Selecionar Nome&gt;")</f>
        <v>ESTAGIARIO I</v>
      </c>
      <c r="C172" t="s">
        <v>45</v>
      </c>
      <c r="D172">
        <v>9</v>
      </c>
      <c r="E172">
        <f>176*tbEquipe[[#This Row],[Alocação]]</f>
        <v>117.33333333333339</v>
      </c>
      <c r="F172" s="337">
        <v>0.66666666666666696</v>
      </c>
      <c r="G1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3052.9491593218149</v>
      </c>
      <c r="H172" s="1"/>
    </row>
    <row r="173" spans="1:14" x14ac:dyDescent="0.25">
      <c r="A173" t="s">
        <v>210</v>
      </c>
      <c r="B173" s="25" t="str">
        <f>IFERROR(VLOOKUP(tbEquipe[[#This Row],[Nome]],tbFOPAG[[Nome]:[Cargo]],2,0),"&lt;Selecionar Nome&gt;")</f>
        <v>ESTAGIARIO I</v>
      </c>
      <c r="C173" t="s">
        <v>45</v>
      </c>
      <c r="D173">
        <v>10</v>
      </c>
      <c r="E173">
        <f>176*tbEquipe[[#This Row],[Alocação]]</f>
        <v>117.33333333333339</v>
      </c>
      <c r="F173" s="337">
        <v>0.66666666666666696</v>
      </c>
      <c r="G1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3052.9491593218149</v>
      </c>
      <c r="H173" s="1"/>
    </row>
    <row r="174" spans="1:14" x14ac:dyDescent="0.25">
      <c r="A174" t="s">
        <v>210</v>
      </c>
      <c r="B174" s="25" t="str">
        <f>IFERROR(VLOOKUP(tbEquipe[[#This Row],[Nome]],tbFOPAG[[Nome]:[Cargo]],2,0),"&lt;Selecionar Nome&gt;")</f>
        <v>ESTAGIARIO I</v>
      </c>
      <c r="C174" t="s">
        <v>45</v>
      </c>
      <c r="D174">
        <v>11</v>
      </c>
      <c r="E174">
        <f>176*tbEquipe[[#This Row],[Alocação]]</f>
        <v>117.33333333333339</v>
      </c>
      <c r="F174" s="337">
        <v>0.66666666666666696</v>
      </c>
      <c r="G1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3052.9491593218149</v>
      </c>
      <c r="H174" s="1"/>
    </row>
    <row r="175" spans="1:14" s="72" customFormat="1" x14ac:dyDescent="0.25">
      <c r="A175" s="72" t="s">
        <v>210</v>
      </c>
      <c r="B175" s="265" t="str">
        <f>IFERROR(VLOOKUP(tbEquipe[[#This Row],[Nome]],tbFOPAG[[Nome]:[Cargo]],2,0),"&lt;Selecionar Nome&gt;")</f>
        <v>ESTAGIARIO I</v>
      </c>
      <c r="C175" s="72" t="s">
        <v>45</v>
      </c>
      <c r="D175" s="72">
        <v>12</v>
      </c>
      <c r="E175" s="72">
        <f>176*tbEquipe[[#This Row],[Alocação]]</f>
        <v>117.33333333333339</v>
      </c>
      <c r="F175" s="337">
        <v>0.66666666666666696</v>
      </c>
      <c r="G175" s="266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3052.9491593218149</v>
      </c>
      <c r="H175" s="266"/>
      <c r="I175" s="266">
        <f>SUM(G164:G175)</f>
        <v>36695.914802214611</v>
      </c>
      <c r="J175" s="72" t="s">
        <v>593</v>
      </c>
      <c r="M175" s="72" t="s">
        <v>593</v>
      </c>
    </row>
    <row r="176" spans="1:14" x14ac:dyDescent="0.25">
      <c r="A176" t="s">
        <v>96</v>
      </c>
      <c r="B176" s="25" t="str">
        <f>IFERROR(VLOOKUP(tbEquipe[[#This Row],[Nome]],tbFOPAG[[Nome]:[Cargo]],2,0),"&lt;Selecionar Nome&gt;")</f>
        <v>ANALISTA DE PROCESSO PL</v>
      </c>
      <c r="C176" t="s">
        <v>45</v>
      </c>
      <c r="D176">
        <v>1</v>
      </c>
      <c r="E176">
        <f>176*tbEquipe[[#This Row],[Alocação]]</f>
        <v>23.466666666666665</v>
      </c>
      <c r="F176" s="337">
        <v>0.13333333333333333</v>
      </c>
      <c r="G1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1605.7639999999999</v>
      </c>
      <c r="H176" s="1"/>
    </row>
    <row r="177" spans="1:14" x14ac:dyDescent="0.25">
      <c r="A177" t="s">
        <v>96</v>
      </c>
      <c r="B177" s="25" t="str">
        <f>IFERROR(VLOOKUP(tbEquipe[[#This Row],[Nome]],tbFOPAG[[Nome]:[Cargo]],2,0),"&lt;Selecionar Nome&gt;")</f>
        <v>ANALISTA DE PROCESSO PL</v>
      </c>
      <c r="C177" t="s">
        <v>45</v>
      </c>
      <c r="D177">
        <v>2</v>
      </c>
      <c r="E177">
        <f>176*tbEquipe[[#This Row],[Alocação]]</f>
        <v>23.466666666666665</v>
      </c>
      <c r="F177" s="337">
        <v>0.13333333333333333</v>
      </c>
      <c r="G1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77" s="1"/>
    </row>
    <row r="178" spans="1:14" x14ac:dyDescent="0.25">
      <c r="A178" t="s">
        <v>96</v>
      </c>
      <c r="B178" s="25" t="str">
        <f>IFERROR(VLOOKUP(tbEquipe[[#This Row],[Nome]],tbFOPAG[[Nome]:[Cargo]],2,0),"&lt;Selecionar Nome&gt;")</f>
        <v>ANALISTA DE PROCESSO PL</v>
      </c>
      <c r="C178" t="s">
        <v>45</v>
      </c>
      <c r="D178">
        <v>3</v>
      </c>
      <c r="E178">
        <f>176*tbEquipe[[#This Row],[Alocação]]</f>
        <v>23.466666666666665</v>
      </c>
      <c r="F178" s="337">
        <v>0.13333333333333333</v>
      </c>
      <c r="G1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78" s="1"/>
    </row>
    <row r="179" spans="1:14" x14ac:dyDescent="0.25">
      <c r="A179" t="s">
        <v>96</v>
      </c>
      <c r="B179" s="25" t="str">
        <f>IFERROR(VLOOKUP(tbEquipe[[#This Row],[Nome]],tbFOPAG[[Nome]:[Cargo]],2,0),"&lt;Selecionar Nome&gt;")</f>
        <v>ANALISTA DE PROCESSO PL</v>
      </c>
      <c r="C179" t="s">
        <v>45</v>
      </c>
      <c r="D179">
        <v>4</v>
      </c>
      <c r="E179">
        <f>176*tbEquipe[[#This Row],[Alocação]]</f>
        <v>23.466666666666665</v>
      </c>
      <c r="F179" s="337">
        <v>0.13333333333333333</v>
      </c>
      <c r="G1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79" s="1"/>
    </row>
    <row r="180" spans="1:14" x14ac:dyDescent="0.25">
      <c r="A180" t="s">
        <v>96</v>
      </c>
      <c r="B180" s="25" t="str">
        <f>IFERROR(VLOOKUP(tbEquipe[[#This Row],[Nome]],tbFOPAG[[Nome]:[Cargo]],2,0),"&lt;Selecionar Nome&gt;")</f>
        <v>ANALISTA DE PROCESSO PL</v>
      </c>
      <c r="C180" t="s">
        <v>45</v>
      </c>
      <c r="D180">
        <v>5</v>
      </c>
      <c r="E180">
        <f>176*tbEquipe[[#This Row],[Alocação]]</f>
        <v>23.466666666666665</v>
      </c>
      <c r="F180" s="337">
        <v>0.13333333333333333</v>
      </c>
      <c r="G1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0" s="1"/>
    </row>
    <row r="181" spans="1:14" x14ac:dyDescent="0.25">
      <c r="A181" t="s">
        <v>96</v>
      </c>
      <c r="B181" s="25" t="str">
        <f>IFERROR(VLOOKUP(tbEquipe[[#This Row],[Nome]],tbFOPAG[[Nome]:[Cargo]],2,0),"&lt;Selecionar Nome&gt;")</f>
        <v>ANALISTA DE PROCESSO PL</v>
      </c>
      <c r="C181" t="s">
        <v>45</v>
      </c>
      <c r="D181">
        <v>6</v>
      </c>
      <c r="E181">
        <f>176*tbEquipe[[#This Row],[Alocação]]</f>
        <v>23.466666666666665</v>
      </c>
      <c r="F181" s="337">
        <v>0.13333333333333333</v>
      </c>
      <c r="G1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1" s="1"/>
    </row>
    <row r="182" spans="1:14" x14ac:dyDescent="0.25">
      <c r="A182" t="s">
        <v>96</v>
      </c>
      <c r="B182" s="25" t="str">
        <f>IFERROR(VLOOKUP(tbEquipe[[#This Row],[Nome]],tbFOPAG[[Nome]:[Cargo]],2,0),"&lt;Selecionar Nome&gt;")</f>
        <v>ANALISTA DE PROCESSO PL</v>
      </c>
      <c r="C182" t="s">
        <v>45</v>
      </c>
      <c r="D182">
        <v>7</v>
      </c>
      <c r="E182">
        <f>176*tbEquipe[[#This Row],[Alocação]]</f>
        <v>23.466666666666665</v>
      </c>
      <c r="F182" s="337">
        <v>0.13333333333333333</v>
      </c>
      <c r="G1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2" s="1"/>
    </row>
    <row r="183" spans="1:14" x14ac:dyDescent="0.25">
      <c r="A183" t="s">
        <v>96</v>
      </c>
      <c r="B183" s="25" t="str">
        <f>IFERROR(VLOOKUP(tbEquipe[[#This Row],[Nome]],tbFOPAG[[Nome]:[Cargo]],2,0),"&lt;Selecionar Nome&gt;")</f>
        <v>ANALISTA DE PROCESSO PL</v>
      </c>
      <c r="C183" t="s">
        <v>45</v>
      </c>
      <c r="D183">
        <v>8</v>
      </c>
      <c r="E183">
        <f>176*tbEquipe[[#This Row],[Alocação]]</f>
        <v>23.466666666666665</v>
      </c>
      <c r="F183" s="337">
        <v>0.13333333333333333</v>
      </c>
      <c r="G1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3" s="1"/>
      <c r="I183" s="1">
        <f>SUM(G176:G183)</f>
        <v>13174.266213333334</v>
      </c>
      <c r="J183" s="333">
        <f>SUM(F176:F183)</f>
        <v>1.0666666666666667</v>
      </c>
      <c r="K183" s="335">
        <f>J183/12</f>
        <v>8.8888888888888892E-2</v>
      </c>
      <c r="M183" s="192">
        <v>1.5999999999999999</v>
      </c>
      <c r="N183" s="335">
        <v>0.13333333333333333</v>
      </c>
    </row>
    <row r="184" spans="1:14" x14ac:dyDescent="0.25">
      <c r="A184" t="s">
        <v>96</v>
      </c>
      <c r="B184" s="25" t="str">
        <f>IFERROR(VLOOKUP(tbEquipe[[#This Row],[Nome]],tbFOPAG[[Nome]:[Cargo]],2,0),"&lt;Selecionar Nome&gt;")</f>
        <v>ANALISTA DE PROCESSO PL</v>
      </c>
      <c r="C184" t="s">
        <v>45</v>
      </c>
      <c r="D184">
        <v>9</v>
      </c>
      <c r="E184">
        <f>176*tbEquipe[[#This Row],[Alocação]]</f>
        <v>23.466666666666665</v>
      </c>
      <c r="F184" s="337">
        <v>0.13333333333333333</v>
      </c>
      <c r="G1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4" s="1"/>
    </row>
    <row r="185" spans="1:14" x14ac:dyDescent="0.25">
      <c r="A185" t="s">
        <v>96</v>
      </c>
      <c r="B185" s="25" t="str">
        <f>IFERROR(VLOOKUP(tbEquipe[[#This Row],[Nome]],tbFOPAG[[Nome]:[Cargo]],2,0),"&lt;Selecionar Nome&gt;")</f>
        <v>ANALISTA DE PROCESSO PL</v>
      </c>
      <c r="C185" t="s">
        <v>45</v>
      </c>
      <c r="D185">
        <v>10</v>
      </c>
      <c r="E185">
        <f>176*tbEquipe[[#This Row],[Alocação]]</f>
        <v>23.466666666666665</v>
      </c>
      <c r="F185" s="337">
        <v>0.13333333333333333</v>
      </c>
      <c r="G1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5" s="1"/>
    </row>
    <row r="186" spans="1:14" x14ac:dyDescent="0.25">
      <c r="A186" t="s">
        <v>96</v>
      </c>
      <c r="B186" s="25" t="str">
        <f>IFERROR(VLOOKUP(tbEquipe[[#This Row],[Nome]],tbFOPAG[[Nome]:[Cargo]],2,0),"&lt;Selecionar Nome&gt;")</f>
        <v>ANALISTA DE PROCESSO PL</v>
      </c>
      <c r="C186" t="s">
        <v>45</v>
      </c>
      <c r="D186">
        <v>11</v>
      </c>
      <c r="E186">
        <f>176*tbEquipe[[#This Row],[Alocação]]</f>
        <v>23.466666666666665</v>
      </c>
      <c r="F186" s="337">
        <v>0.13333333333333333</v>
      </c>
      <c r="G1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6" s="1"/>
    </row>
    <row r="187" spans="1:14" s="72" customFormat="1" x14ac:dyDescent="0.25">
      <c r="A187" s="72" t="s">
        <v>96</v>
      </c>
      <c r="B187" s="265" t="str">
        <f>IFERROR(VLOOKUP(tbEquipe[[#This Row],[Nome]],tbFOPAG[[Nome]:[Cargo]],2,0),"&lt;Selecionar Nome&gt;")</f>
        <v>ANALISTA DE PROCESSO PL</v>
      </c>
      <c r="C187" s="72" t="s">
        <v>45</v>
      </c>
      <c r="D187" s="72">
        <v>12</v>
      </c>
      <c r="E187" s="72">
        <f>176*tbEquipe[[#This Row],[Alocação]]</f>
        <v>23.466666666666665</v>
      </c>
      <c r="F187" s="337">
        <v>0.13333333333333333</v>
      </c>
      <c r="G187" s="266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1652.6431733333332</v>
      </c>
      <c r="H187" s="266"/>
      <c r="I187" s="266">
        <f>SUM(G176:G187)</f>
        <v>19784.838906666668</v>
      </c>
      <c r="J187" s="72" t="s">
        <v>593</v>
      </c>
      <c r="M187" s="72" t="s">
        <v>593</v>
      </c>
    </row>
    <row r="188" spans="1:14" x14ac:dyDescent="0.25">
      <c r="A188" t="s">
        <v>80</v>
      </c>
      <c r="B188" s="25" t="str">
        <f>IFERROR(VLOOKUP(tbEquipe[[#This Row],[Nome]],tbFOPAG[[Nome]:[Cargo]],2,0),"&lt;Selecionar Nome&gt;")</f>
        <v>ANALISTA DE ENGENHARIA PL</v>
      </c>
      <c r="C188" t="s">
        <v>45</v>
      </c>
      <c r="D188">
        <v>1</v>
      </c>
      <c r="E188">
        <f>176*tbEquipe[[#This Row],[Alocação]]</f>
        <v>117.33333333333333</v>
      </c>
      <c r="F188" s="337">
        <v>0.66666666666666663</v>
      </c>
      <c r="G1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10132.533611377776</v>
      </c>
      <c r="H188" s="1"/>
    </row>
    <row r="189" spans="1:14" x14ac:dyDescent="0.25">
      <c r="A189" t="s">
        <v>80</v>
      </c>
      <c r="B189" s="25" t="str">
        <f>IFERROR(VLOOKUP(tbEquipe[[#This Row],[Nome]],tbFOPAG[[Nome]:[Cargo]],2,0),"&lt;Selecionar Nome&gt;")</f>
        <v>ANALISTA DE ENGENHARIA PL</v>
      </c>
      <c r="C189" t="s">
        <v>45</v>
      </c>
      <c r="D189">
        <v>2</v>
      </c>
      <c r="E189">
        <f>176*tbEquipe[[#This Row],[Alocação]]</f>
        <v>117.33333333333333</v>
      </c>
      <c r="F189" s="337">
        <v>0.66666666666666663</v>
      </c>
      <c r="G1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89" s="1"/>
    </row>
    <row r="190" spans="1:14" x14ac:dyDescent="0.25">
      <c r="A190" t="s">
        <v>80</v>
      </c>
      <c r="B190" s="25" t="str">
        <f>IFERROR(VLOOKUP(tbEquipe[[#This Row],[Nome]],tbFOPAG[[Nome]:[Cargo]],2,0),"&lt;Selecionar Nome&gt;")</f>
        <v>ANALISTA DE ENGENHARIA PL</v>
      </c>
      <c r="C190" t="s">
        <v>45</v>
      </c>
      <c r="D190">
        <v>3</v>
      </c>
      <c r="E190">
        <f>176*tbEquipe[[#This Row],[Alocação]]</f>
        <v>117.33333333333333</v>
      </c>
      <c r="F190" s="337">
        <v>0.66666666666666663</v>
      </c>
      <c r="G1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0" s="1"/>
    </row>
    <row r="191" spans="1:14" x14ac:dyDescent="0.25">
      <c r="A191" t="s">
        <v>80</v>
      </c>
      <c r="B191" s="25" t="str">
        <f>IFERROR(VLOOKUP(tbEquipe[[#This Row],[Nome]],tbFOPAG[[Nome]:[Cargo]],2,0),"&lt;Selecionar Nome&gt;")</f>
        <v>ANALISTA DE ENGENHARIA PL</v>
      </c>
      <c r="C191" t="s">
        <v>45</v>
      </c>
      <c r="D191">
        <v>4</v>
      </c>
      <c r="E191">
        <f>176*tbEquipe[[#This Row],[Alocação]]</f>
        <v>117.33333333333333</v>
      </c>
      <c r="F191" s="337">
        <v>0.66666666666666663</v>
      </c>
      <c r="G1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1" s="1"/>
    </row>
    <row r="192" spans="1:14" x14ac:dyDescent="0.25">
      <c r="A192" t="s">
        <v>80</v>
      </c>
      <c r="B192" s="25" t="str">
        <f>IFERROR(VLOOKUP(tbEquipe[[#This Row],[Nome]],tbFOPAG[[Nome]:[Cargo]],2,0),"&lt;Selecionar Nome&gt;")</f>
        <v>ANALISTA DE ENGENHARIA PL</v>
      </c>
      <c r="C192" t="s">
        <v>45</v>
      </c>
      <c r="D192">
        <v>5</v>
      </c>
      <c r="E192">
        <f>176*tbEquipe[[#This Row],[Alocação]]</f>
        <v>117.33333333333333</v>
      </c>
      <c r="F192" s="337">
        <v>0.66666666666666663</v>
      </c>
      <c r="G1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2" s="1"/>
    </row>
    <row r="193" spans="1:14" x14ac:dyDescent="0.25">
      <c r="A193" t="s">
        <v>80</v>
      </c>
      <c r="B193" s="25" t="str">
        <f>IFERROR(VLOOKUP(tbEquipe[[#This Row],[Nome]],tbFOPAG[[Nome]:[Cargo]],2,0),"&lt;Selecionar Nome&gt;")</f>
        <v>ANALISTA DE ENGENHARIA PL</v>
      </c>
      <c r="C193" t="s">
        <v>45</v>
      </c>
      <c r="D193">
        <v>6</v>
      </c>
      <c r="E193">
        <f>176*tbEquipe[[#This Row],[Alocação]]</f>
        <v>117.33333333333333</v>
      </c>
      <c r="F193" s="337">
        <v>0.66666666666666663</v>
      </c>
      <c r="G1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3" s="1"/>
    </row>
    <row r="194" spans="1:14" x14ac:dyDescent="0.25">
      <c r="A194" t="s">
        <v>80</v>
      </c>
      <c r="B194" s="25" t="str">
        <f>IFERROR(VLOOKUP(tbEquipe[[#This Row],[Nome]],tbFOPAG[[Nome]:[Cargo]],2,0),"&lt;Selecionar Nome&gt;")</f>
        <v>ANALISTA DE ENGENHARIA PL</v>
      </c>
      <c r="C194" t="s">
        <v>45</v>
      </c>
      <c r="D194">
        <v>7</v>
      </c>
      <c r="E194">
        <f>176*tbEquipe[[#This Row],[Alocação]]</f>
        <v>117.33333333333333</v>
      </c>
      <c r="F194" s="337">
        <v>0.66666666666666663</v>
      </c>
      <c r="G1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4" s="1"/>
    </row>
    <row r="195" spans="1:14" x14ac:dyDescent="0.25">
      <c r="A195" t="s">
        <v>80</v>
      </c>
      <c r="B195" s="25" t="str">
        <f>IFERROR(VLOOKUP(tbEquipe[[#This Row],[Nome]],tbFOPAG[[Nome]:[Cargo]],2,0),"&lt;Selecionar Nome&gt;")</f>
        <v>ANALISTA DE ENGENHARIA PL</v>
      </c>
      <c r="C195" t="s">
        <v>45</v>
      </c>
      <c r="D195">
        <v>8</v>
      </c>
      <c r="E195">
        <f>176*tbEquipe[[#This Row],[Alocação]]</f>
        <v>117.33333333333333</v>
      </c>
      <c r="F195" s="337">
        <v>0.66666666666666663</v>
      </c>
      <c r="G1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5" s="1"/>
      <c r="I195" s="1">
        <f>SUM(G188:G195)</f>
        <v>83584.59967446755</v>
      </c>
      <c r="J195" s="333">
        <f>SUM(F188:F195)</f>
        <v>5.333333333333333</v>
      </c>
      <c r="K195" s="335">
        <f>J195/12</f>
        <v>0.44444444444444442</v>
      </c>
      <c r="M195" s="192">
        <v>8</v>
      </c>
      <c r="N195" s="335">
        <v>0.66666666666666663</v>
      </c>
    </row>
    <row r="196" spans="1:14" x14ac:dyDescent="0.25">
      <c r="A196" t="s">
        <v>80</v>
      </c>
      <c r="B196" s="25" t="str">
        <f>IFERROR(VLOOKUP(tbEquipe[[#This Row],[Nome]],tbFOPAG[[Nome]:[Cargo]],2,0),"&lt;Selecionar Nome&gt;")</f>
        <v>ANALISTA DE ENGENHARIA PL</v>
      </c>
      <c r="C196" t="s">
        <v>45</v>
      </c>
      <c r="D196">
        <v>9</v>
      </c>
      <c r="E196">
        <f>176*tbEquipe[[#This Row],[Alocação]]</f>
        <v>117.33333333333333</v>
      </c>
      <c r="F196" s="337">
        <v>0.66666666666666663</v>
      </c>
      <c r="G1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6" s="1"/>
    </row>
    <row r="197" spans="1:14" x14ac:dyDescent="0.25">
      <c r="A197" t="s">
        <v>80</v>
      </c>
      <c r="B197" s="25" t="str">
        <f>IFERROR(VLOOKUP(tbEquipe[[#This Row],[Nome]],tbFOPAG[[Nome]:[Cargo]],2,0),"&lt;Selecionar Nome&gt;")</f>
        <v>ANALISTA DE ENGENHARIA PL</v>
      </c>
      <c r="C197" t="s">
        <v>45</v>
      </c>
      <c r="D197">
        <v>10</v>
      </c>
      <c r="E197">
        <f>176*tbEquipe[[#This Row],[Alocação]]</f>
        <v>117.33333333333333</v>
      </c>
      <c r="F197" s="337">
        <v>0.66666666666666663</v>
      </c>
      <c r="G1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7" s="1"/>
    </row>
    <row r="198" spans="1:14" x14ac:dyDescent="0.25">
      <c r="A198" t="s">
        <v>80</v>
      </c>
      <c r="B198" s="25" t="str">
        <f>IFERROR(VLOOKUP(tbEquipe[[#This Row],[Nome]],tbFOPAG[[Nome]:[Cargo]],2,0),"&lt;Selecionar Nome&gt;")</f>
        <v>ANALISTA DE ENGENHARIA PL</v>
      </c>
      <c r="C198" t="s">
        <v>45</v>
      </c>
      <c r="D198">
        <v>11</v>
      </c>
      <c r="E198">
        <f>176*tbEquipe[[#This Row],[Alocação]]</f>
        <v>117.33333333333333</v>
      </c>
      <c r="F198" s="337">
        <v>0.66666666666666663</v>
      </c>
      <c r="G1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8" s="1"/>
    </row>
    <row r="199" spans="1:14" s="72" customFormat="1" x14ac:dyDescent="0.25">
      <c r="A199" s="72" t="s">
        <v>80</v>
      </c>
      <c r="B199" s="265" t="str">
        <f>IFERROR(VLOOKUP(tbEquipe[[#This Row],[Nome]],tbFOPAG[[Nome]:[Cargo]],2,0),"&lt;Selecionar Nome&gt;")</f>
        <v>ANALISTA DE ENGENHARIA PL</v>
      </c>
      <c r="C199" s="72" t="s">
        <v>45</v>
      </c>
      <c r="D199" s="72">
        <v>12</v>
      </c>
      <c r="E199" s="72">
        <f>176*tbEquipe[[#This Row],[Alocação]]</f>
        <v>117.33333333333333</v>
      </c>
      <c r="F199" s="337">
        <v>0.66666666666666663</v>
      </c>
      <c r="G199" s="266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10493.15229472711</v>
      </c>
      <c r="H199" s="266"/>
      <c r="I199" s="266">
        <f>SUM(G188:G199)</f>
        <v>125557.20885337601</v>
      </c>
      <c r="J199" s="72" t="s">
        <v>593</v>
      </c>
      <c r="M199" s="72" t="s">
        <v>593</v>
      </c>
    </row>
    <row r="200" spans="1:14" x14ac:dyDescent="0.25">
      <c r="B200" s="25" t="str">
        <f>IFERROR(VLOOKUP(tbEquipe[[#This Row],[Nome]],tbFOPAG[[Nome]:[Cargo]],2,0),"&lt;Selecionar Nome&gt;")</f>
        <v>&lt;Selecionar Nome&gt;</v>
      </c>
      <c r="E200">
        <f>176*tbEquipe[[#This Row],[Alocação]]</f>
        <v>0</v>
      </c>
      <c r="F200" s="34"/>
      <c r="G2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0" s="1"/>
    </row>
    <row r="201" spans="1:14" x14ac:dyDescent="0.25">
      <c r="B201" s="25" t="str">
        <f>IFERROR(VLOOKUP(tbEquipe[[#This Row],[Nome]],tbFOPAG[[Nome]:[Cargo]],2,0),"&lt;Selecionar Nome&gt;")</f>
        <v>&lt;Selecionar Nome&gt;</v>
      </c>
      <c r="E201">
        <f>176*tbEquipe[[#This Row],[Alocação]]</f>
        <v>0</v>
      </c>
      <c r="F201" s="34"/>
      <c r="G2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1" s="1"/>
    </row>
    <row r="202" spans="1:14" x14ac:dyDescent="0.25">
      <c r="B202" s="25" t="str">
        <f>IFERROR(VLOOKUP(tbEquipe[[#This Row],[Nome]],tbFOPAG[[Nome]:[Cargo]],2,0),"&lt;Selecionar Nome&gt;")</f>
        <v>&lt;Selecionar Nome&gt;</v>
      </c>
      <c r="E202">
        <f>176*tbEquipe[[#This Row],[Alocação]]</f>
        <v>0</v>
      </c>
      <c r="F202" s="34"/>
      <c r="G2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2" s="1"/>
    </row>
    <row r="203" spans="1:14" x14ac:dyDescent="0.25">
      <c r="B203" s="25" t="str">
        <f>IFERROR(VLOOKUP(tbEquipe[[#This Row],[Nome]],tbFOPAG[[Nome]:[Cargo]],2,0),"&lt;Selecionar Nome&gt;")</f>
        <v>&lt;Selecionar Nome&gt;</v>
      </c>
      <c r="E203">
        <f>176*tbEquipe[[#This Row],[Alocação]]</f>
        <v>0</v>
      </c>
      <c r="F203" s="34"/>
      <c r="G2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3" s="1"/>
    </row>
    <row r="204" spans="1:14" x14ac:dyDescent="0.25">
      <c r="B204" s="25" t="str">
        <f>IFERROR(VLOOKUP(tbEquipe[[#This Row],[Nome]],tbFOPAG[[Nome]:[Cargo]],2,0),"&lt;Selecionar Nome&gt;")</f>
        <v>&lt;Selecionar Nome&gt;</v>
      </c>
      <c r="E204">
        <f>176*tbEquipe[[#This Row],[Alocação]]</f>
        <v>0</v>
      </c>
      <c r="F204" s="34"/>
      <c r="G2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4" s="1"/>
    </row>
    <row r="205" spans="1:14" x14ac:dyDescent="0.25">
      <c r="B205" s="25" t="str">
        <f>IFERROR(VLOOKUP(tbEquipe[[#This Row],[Nome]],tbFOPAG[[Nome]:[Cargo]],2,0),"&lt;Selecionar Nome&gt;")</f>
        <v>&lt;Selecionar Nome&gt;</v>
      </c>
      <c r="E205">
        <f>176*tbEquipe[[#This Row],[Alocação]]</f>
        <v>0</v>
      </c>
      <c r="F205" s="34"/>
      <c r="G2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5" s="1"/>
    </row>
    <row r="206" spans="1:14" x14ac:dyDescent="0.25">
      <c r="B206" s="25" t="str">
        <f>IFERROR(VLOOKUP(tbEquipe[[#This Row],[Nome]],tbFOPAG[[Nome]:[Cargo]],2,0),"&lt;Selecionar Nome&gt;")</f>
        <v>&lt;Selecionar Nome&gt;</v>
      </c>
      <c r="E206">
        <f>176*tbEquipe[[#This Row],[Alocação]]</f>
        <v>0</v>
      </c>
      <c r="F206" s="34"/>
      <c r="G2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6" s="1"/>
    </row>
    <row r="207" spans="1:14" x14ac:dyDescent="0.25">
      <c r="B207" s="25" t="str">
        <f>IFERROR(VLOOKUP(tbEquipe[[#This Row],[Nome]],tbFOPAG[[Nome]:[Cargo]],2,0),"&lt;Selecionar Nome&gt;")</f>
        <v>&lt;Selecionar Nome&gt;</v>
      </c>
      <c r="E207">
        <f>176*tbEquipe[[#This Row],[Alocação]]</f>
        <v>0</v>
      </c>
      <c r="F207" s="34"/>
      <c r="G2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7" s="1"/>
    </row>
    <row r="208" spans="1:14" x14ac:dyDescent="0.25">
      <c r="B208" s="25" t="str">
        <f>IFERROR(VLOOKUP(tbEquipe[[#This Row],[Nome]],tbFOPAG[[Nome]:[Cargo]],2,0),"&lt;Selecionar Nome&gt;")</f>
        <v>&lt;Selecionar Nome&gt;</v>
      </c>
      <c r="E208">
        <f>176*tbEquipe[[#This Row],[Alocação]]</f>
        <v>0</v>
      </c>
      <c r="F208" s="34"/>
      <c r="G2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8" s="1"/>
    </row>
    <row r="209" spans="2:8" x14ac:dyDescent="0.25">
      <c r="B209" s="25" t="str">
        <f>IFERROR(VLOOKUP(tbEquipe[[#This Row],[Nome]],tbFOPAG[[Nome]:[Cargo]],2,0),"&lt;Selecionar Nome&gt;")</f>
        <v>&lt;Selecionar Nome&gt;</v>
      </c>
      <c r="E209">
        <f>176*tbEquipe[[#This Row],[Alocação]]</f>
        <v>0</v>
      </c>
      <c r="F209" s="34"/>
      <c r="G2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09" s="1"/>
    </row>
    <row r="210" spans="2:8" ht="15.75" thickBot="1" x14ac:dyDescent="0.3">
      <c r="B210" s="25" t="str">
        <f>IFERROR(VLOOKUP(tbEquipe[[#This Row],[Nome]],tbFOPAG[[Nome]:[Cargo]],2,0),"&lt;Selecionar Nome&gt;")</f>
        <v>&lt;Selecionar Nome&gt;</v>
      </c>
      <c r="E210">
        <f>176*tbEquipe[[#This Row],[Alocação]]</f>
        <v>0</v>
      </c>
      <c r="F210" s="34"/>
      <c r="G2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0" s="1"/>
    </row>
    <row r="211" spans="2:8" hidden="1" x14ac:dyDescent="0.25">
      <c r="B211" s="25" t="str">
        <f>IFERROR(VLOOKUP(tbEquipe[[#This Row],[Nome]],tbFOPAG[[Nome]:[Cargo]],2,0),"&lt;Selecionar Nome&gt;")</f>
        <v>&lt;Selecionar Nome&gt;</v>
      </c>
      <c r="E211">
        <f>176*tbEquipe[[#This Row],[Alocação]]</f>
        <v>0</v>
      </c>
      <c r="F211" s="34"/>
      <c r="G2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1" s="1"/>
    </row>
    <row r="212" spans="2:8" hidden="1" x14ac:dyDescent="0.25">
      <c r="B212" s="25" t="str">
        <f>IFERROR(VLOOKUP(tbEquipe[[#This Row],[Nome]],tbFOPAG[[Nome]:[Cargo]],2,0),"&lt;Selecionar Nome&gt;")</f>
        <v>&lt;Selecionar Nome&gt;</v>
      </c>
      <c r="E212">
        <f>176*tbEquipe[[#This Row],[Alocação]]</f>
        <v>0</v>
      </c>
      <c r="F212" s="34"/>
      <c r="G2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2" s="1"/>
    </row>
    <row r="213" spans="2:8" hidden="1" x14ac:dyDescent="0.25">
      <c r="B213" s="25" t="str">
        <f>IFERROR(VLOOKUP(tbEquipe[[#This Row],[Nome]],tbFOPAG[[Nome]:[Cargo]],2,0),"&lt;Selecionar Nome&gt;")</f>
        <v>&lt;Selecionar Nome&gt;</v>
      </c>
      <c r="E213">
        <f>176*tbEquipe[[#This Row],[Alocação]]</f>
        <v>0</v>
      </c>
      <c r="F213" s="34"/>
      <c r="G2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3" s="1"/>
    </row>
    <row r="214" spans="2:8" hidden="1" x14ac:dyDescent="0.25">
      <c r="B214" s="25" t="str">
        <f>IFERROR(VLOOKUP(tbEquipe[[#This Row],[Nome]],tbFOPAG[[Nome]:[Cargo]],2,0),"&lt;Selecionar Nome&gt;")</f>
        <v>&lt;Selecionar Nome&gt;</v>
      </c>
      <c r="E214">
        <f>176*tbEquipe[[#This Row],[Alocação]]</f>
        <v>0</v>
      </c>
      <c r="F214" s="34"/>
      <c r="G2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4" s="1"/>
    </row>
    <row r="215" spans="2:8" hidden="1" x14ac:dyDescent="0.25">
      <c r="B215" s="25" t="str">
        <f>IFERROR(VLOOKUP(tbEquipe[[#This Row],[Nome]],tbFOPAG[[Nome]:[Cargo]],2,0),"&lt;Selecionar Nome&gt;")</f>
        <v>&lt;Selecionar Nome&gt;</v>
      </c>
      <c r="E215">
        <f>176*tbEquipe[[#This Row],[Alocação]]</f>
        <v>0</v>
      </c>
      <c r="F215" s="34"/>
      <c r="G2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5" s="1"/>
    </row>
    <row r="216" spans="2:8" hidden="1" x14ac:dyDescent="0.25">
      <c r="B216" s="25" t="str">
        <f>IFERROR(VLOOKUP(tbEquipe[[#This Row],[Nome]],tbFOPAG[[Nome]:[Cargo]],2,0),"&lt;Selecionar Nome&gt;")</f>
        <v>&lt;Selecionar Nome&gt;</v>
      </c>
      <c r="E216">
        <f>176*tbEquipe[[#This Row],[Alocação]]</f>
        <v>0</v>
      </c>
      <c r="F216" s="34"/>
      <c r="G2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6" s="1"/>
    </row>
    <row r="217" spans="2:8" hidden="1" x14ac:dyDescent="0.25">
      <c r="B217" s="25" t="str">
        <f>IFERROR(VLOOKUP(tbEquipe[[#This Row],[Nome]],tbFOPAG[[Nome]:[Cargo]],2,0),"&lt;Selecionar Nome&gt;")</f>
        <v>&lt;Selecionar Nome&gt;</v>
      </c>
      <c r="E217">
        <f>176*tbEquipe[[#This Row],[Alocação]]</f>
        <v>0</v>
      </c>
      <c r="F217" s="34"/>
      <c r="G2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7" s="1"/>
    </row>
    <row r="218" spans="2:8" hidden="1" x14ac:dyDescent="0.25">
      <c r="B218" s="25" t="str">
        <f>IFERROR(VLOOKUP(tbEquipe[[#This Row],[Nome]],tbFOPAG[[Nome]:[Cargo]],2,0),"&lt;Selecionar Nome&gt;")</f>
        <v>&lt;Selecionar Nome&gt;</v>
      </c>
      <c r="E218">
        <f>176*tbEquipe[[#This Row],[Alocação]]</f>
        <v>0</v>
      </c>
      <c r="F218" s="34"/>
      <c r="G2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8" s="1"/>
    </row>
    <row r="219" spans="2:8" hidden="1" x14ac:dyDescent="0.25">
      <c r="B219" s="25" t="str">
        <f>IFERROR(VLOOKUP(tbEquipe[[#This Row],[Nome]],tbFOPAG[[Nome]:[Cargo]],2,0),"&lt;Selecionar Nome&gt;")</f>
        <v>&lt;Selecionar Nome&gt;</v>
      </c>
      <c r="E219">
        <f>176*tbEquipe[[#This Row],[Alocação]]</f>
        <v>0</v>
      </c>
      <c r="F219" s="34"/>
      <c r="G2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19" s="1"/>
    </row>
    <row r="220" spans="2:8" hidden="1" x14ac:dyDescent="0.25">
      <c r="B220" s="25" t="str">
        <f>IFERROR(VLOOKUP(tbEquipe[[#This Row],[Nome]],tbFOPAG[[Nome]:[Cargo]],2,0),"&lt;Selecionar Nome&gt;")</f>
        <v>&lt;Selecionar Nome&gt;</v>
      </c>
      <c r="E220">
        <f>176*tbEquipe[[#This Row],[Alocação]]</f>
        <v>0</v>
      </c>
      <c r="F220" s="34"/>
      <c r="G2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0" s="1"/>
    </row>
    <row r="221" spans="2:8" hidden="1" x14ac:dyDescent="0.25">
      <c r="B221" s="25" t="str">
        <f>IFERROR(VLOOKUP(tbEquipe[[#This Row],[Nome]],tbFOPAG[[Nome]:[Cargo]],2,0),"&lt;Selecionar Nome&gt;")</f>
        <v>&lt;Selecionar Nome&gt;</v>
      </c>
      <c r="E221">
        <f>176*tbEquipe[[#This Row],[Alocação]]</f>
        <v>0</v>
      </c>
      <c r="F221" s="34"/>
      <c r="G2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1" s="1"/>
    </row>
    <row r="222" spans="2:8" hidden="1" x14ac:dyDescent="0.25">
      <c r="B222" s="25" t="str">
        <f>IFERROR(VLOOKUP(tbEquipe[[#This Row],[Nome]],tbFOPAG[[Nome]:[Cargo]],2,0),"&lt;Selecionar Nome&gt;")</f>
        <v>&lt;Selecionar Nome&gt;</v>
      </c>
      <c r="E222">
        <f>176*tbEquipe[[#This Row],[Alocação]]</f>
        <v>0</v>
      </c>
      <c r="F222" s="34"/>
      <c r="G2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2" s="1"/>
    </row>
    <row r="223" spans="2:8" hidden="1" x14ac:dyDescent="0.25">
      <c r="B223" s="25" t="str">
        <f>IFERROR(VLOOKUP(tbEquipe[[#This Row],[Nome]],tbFOPAG[[Nome]:[Cargo]],2,0),"&lt;Selecionar Nome&gt;")</f>
        <v>&lt;Selecionar Nome&gt;</v>
      </c>
      <c r="E223">
        <f>176*tbEquipe[[#This Row],[Alocação]]</f>
        <v>0</v>
      </c>
      <c r="F223" s="34"/>
      <c r="G2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3" s="1"/>
    </row>
    <row r="224" spans="2:8" hidden="1" x14ac:dyDescent="0.25">
      <c r="B224" s="25" t="str">
        <f>IFERROR(VLOOKUP(tbEquipe[[#This Row],[Nome]],tbFOPAG[[Nome]:[Cargo]],2,0),"&lt;Selecionar Nome&gt;")</f>
        <v>&lt;Selecionar Nome&gt;</v>
      </c>
      <c r="E224">
        <f>176*tbEquipe[[#This Row],[Alocação]]</f>
        <v>0</v>
      </c>
      <c r="F224" s="34"/>
      <c r="G2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4" s="1"/>
    </row>
    <row r="225" spans="2:8" hidden="1" x14ac:dyDescent="0.25">
      <c r="B225" s="25" t="str">
        <f>IFERROR(VLOOKUP(tbEquipe[[#This Row],[Nome]],tbFOPAG[[Nome]:[Cargo]],2,0),"&lt;Selecionar Nome&gt;")</f>
        <v>&lt;Selecionar Nome&gt;</v>
      </c>
      <c r="E225">
        <f>176*tbEquipe[[#This Row],[Alocação]]</f>
        <v>0</v>
      </c>
      <c r="F225" s="34"/>
      <c r="G2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5" s="1"/>
    </row>
    <row r="226" spans="2:8" hidden="1" x14ac:dyDescent="0.25">
      <c r="B226" s="25" t="str">
        <f>IFERROR(VLOOKUP(tbEquipe[[#This Row],[Nome]],tbFOPAG[[Nome]:[Cargo]],2,0),"&lt;Selecionar Nome&gt;")</f>
        <v>&lt;Selecionar Nome&gt;</v>
      </c>
      <c r="E226">
        <f>176*tbEquipe[[#This Row],[Alocação]]</f>
        <v>0</v>
      </c>
      <c r="F226" s="34"/>
      <c r="G2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6" s="1"/>
    </row>
    <row r="227" spans="2:8" hidden="1" x14ac:dyDescent="0.25">
      <c r="B227" s="25" t="str">
        <f>IFERROR(VLOOKUP(tbEquipe[[#This Row],[Nome]],tbFOPAG[[Nome]:[Cargo]],2,0),"&lt;Selecionar Nome&gt;")</f>
        <v>&lt;Selecionar Nome&gt;</v>
      </c>
      <c r="E227">
        <f>176*tbEquipe[[#This Row],[Alocação]]</f>
        <v>0</v>
      </c>
      <c r="F227" s="34"/>
      <c r="G2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7" s="1"/>
    </row>
    <row r="228" spans="2:8" hidden="1" x14ac:dyDescent="0.25">
      <c r="B228" s="25" t="str">
        <f>IFERROR(VLOOKUP(tbEquipe[[#This Row],[Nome]],tbFOPAG[[Nome]:[Cargo]],2,0),"&lt;Selecionar Nome&gt;")</f>
        <v>&lt;Selecionar Nome&gt;</v>
      </c>
      <c r="E228">
        <f>176*tbEquipe[[#This Row],[Alocação]]</f>
        <v>0</v>
      </c>
      <c r="F228" s="34"/>
      <c r="G2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8" s="1"/>
    </row>
    <row r="229" spans="2:8" hidden="1" x14ac:dyDescent="0.25">
      <c r="B229" s="25" t="str">
        <f>IFERROR(VLOOKUP(tbEquipe[[#This Row],[Nome]],tbFOPAG[[Nome]:[Cargo]],2,0),"&lt;Selecionar Nome&gt;")</f>
        <v>&lt;Selecionar Nome&gt;</v>
      </c>
      <c r="E229">
        <f>176*tbEquipe[[#This Row],[Alocação]]</f>
        <v>0</v>
      </c>
      <c r="F229" s="34"/>
      <c r="G2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29" s="1"/>
    </row>
    <row r="230" spans="2:8" hidden="1" x14ac:dyDescent="0.25">
      <c r="B230" s="25" t="str">
        <f>IFERROR(VLOOKUP(tbEquipe[[#This Row],[Nome]],tbFOPAG[[Nome]:[Cargo]],2,0),"&lt;Selecionar Nome&gt;")</f>
        <v>&lt;Selecionar Nome&gt;</v>
      </c>
      <c r="E230">
        <f>176*tbEquipe[[#This Row],[Alocação]]</f>
        <v>0</v>
      </c>
      <c r="F230" s="34"/>
      <c r="G2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0" s="1"/>
    </row>
    <row r="231" spans="2:8" hidden="1" x14ac:dyDescent="0.25">
      <c r="B231" s="25" t="str">
        <f>IFERROR(VLOOKUP(tbEquipe[[#This Row],[Nome]],tbFOPAG[[Nome]:[Cargo]],2,0),"&lt;Selecionar Nome&gt;")</f>
        <v>&lt;Selecionar Nome&gt;</v>
      </c>
      <c r="E231">
        <f>176*tbEquipe[[#This Row],[Alocação]]</f>
        <v>0</v>
      </c>
      <c r="F231" s="34"/>
      <c r="G2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1" s="1"/>
    </row>
    <row r="232" spans="2:8" hidden="1" x14ac:dyDescent="0.25">
      <c r="B232" s="25" t="str">
        <f>IFERROR(VLOOKUP(tbEquipe[[#This Row],[Nome]],tbFOPAG[[Nome]:[Cargo]],2,0),"&lt;Selecionar Nome&gt;")</f>
        <v>&lt;Selecionar Nome&gt;</v>
      </c>
      <c r="E232">
        <f>176*tbEquipe[[#This Row],[Alocação]]</f>
        <v>0</v>
      </c>
      <c r="F232" s="34"/>
      <c r="G2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2" s="1"/>
    </row>
    <row r="233" spans="2:8" hidden="1" x14ac:dyDescent="0.25">
      <c r="B233" s="25" t="str">
        <f>IFERROR(VLOOKUP(tbEquipe[[#This Row],[Nome]],tbFOPAG[[Nome]:[Cargo]],2,0),"&lt;Selecionar Nome&gt;")</f>
        <v>&lt;Selecionar Nome&gt;</v>
      </c>
      <c r="E233">
        <f>176*tbEquipe[[#This Row],[Alocação]]</f>
        <v>0</v>
      </c>
      <c r="F233" s="34"/>
      <c r="G2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3" s="1"/>
    </row>
    <row r="234" spans="2:8" hidden="1" x14ac:dyDescent="0.25">
      <c r="B234" s="25" t="str">
        <f>IFERROR(VLOOKUP(tbEquipe[[#This Row],[Nome]],tbFOPAG[[Nome]:[Cargo]],2,0),"&lt;Selecionar Nome&gt;")</f>
        <v>&lt;Selecionar Nome&gt;</v>
      </c>
      <c r="E234">
        <f>176*tbEquipe[[#This Row],[Alocação]]</f>
        <v>0</v>
      </c>
      <c r="F234" s="34"/>
      <c r="G2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4" s="1"/>
    </row>
    <row r="235" spans="2:8" hidden="1" x14ac:dyDescent="0.25">
      <c r="B235" s="25" t="str">
        <f>IFERROR(VLOOKUP(tbEquipe[[#This Row],[Nome]],tbFOPAG[[Nome]:[Cargo]],2,0),"&lt;Selecionar Nome&gt;")</f>
        <v>&lt;Selecionar Nome&gt;</v>
      </c>
      <c r="E235">
        <f>176*tbEquipe[[#This Row],[Alocação]]</f>
        <v>0</v>
      </c>
      <c r="F235" s="34"/>
      <c r="G2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5" s="1"/>
    </row>
    <row r="236" spans="2:8" hidden="1" x14ac:dyDescent="0.25">
      <c r="B236" s="25" t="str">
        <f>IFERROR(VLOOKUP(tbEquipe[[#This Row],[Nome]],tbFOPAG[[Nome]:[Cargo]],2,0),"&lt;Selecionar Nome&gt;")</f>
        <v>&lt;Selecionar Nome&gt;</v>
      </c>
      <c r="E236">
        <f>176*tbEquipe[[#This Row],[Alocação]]</f>
        <v>0</v>
      </c>
      <c r="F236" s="34"/>
      <c r="G2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6" s="1"/>
    </row>
    <row r="237" spans="2:8" hidden="1" x14ac:dyDescent="0.25">
      <c r="B237" s="25" t="str">
        <f>IFERROR(VLOOKUP(tbEquipe[[#This Row],[Nome]],tbFOPAG[[Nome]:[Cargo]],2,0),"&lt;Selecionar Nome&gt;")</f>
        <v>&lt;Selecionar Nome&gt;</v>
      </c>
      <c r="E237">
        <f>176*tbEquipe[[#This Row],[Alocação]]</f>
        <v>0</v>
      </c>
      <c r="F237" s="34"/>
      <c r="G2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7" s="1"/>
    </row>
    <row r="238" spans="2:8" hidden="1" x14ac:dyDescent="0.25">
      <c r="B238" s="25" t="str">
        <f>IFERROR(VLOOKUP(tbEquipe[[#This Row],[Nome]],tbFOPAG[[Nome]:[Cargo]],2,0),"&lt;Selecionar Nome&gt;")</f>
        <v>&lt;Selecionar Nome&gt;</v>
      </c>
      <c r="E238">
        <f>176*tbEquipe[[#This Row],[Alocação]]</f>
        <v>0</v>
      </c>
      <c r="F238" s="34"/>
      <c r="G2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8" s="1"/>
    </row>
    <row r="239" spans="2:8" hidden="1" x14ac:dyDescent="0.25">
      <c r="B239" s="25" t="str">
        <f>IFERROR(VLOOKUP(tbEquipe[[#This Row],[Nome]],tbFOPAG[[Nome]:[Cargo]],2,0),"&lt;Selecionar Nome&gt;")</f>
        <v>&lt;Selecionar Nome&gt;</v>
      </c>
      <c r="E239">
        <f>176*tbEquipe[[#This Row],[Alocação]]</f>
        <v>0</v>
      </c>
      <c r="F239" s="34"/>
      <c r="G2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39" s="1"/>
    </row>
    <row r="240" spans="2:8" hidden="1" x14ac:dyDescent="0.25">
      <c r="B240" s="25" t="str">
        <f>IFERROR(VLOOKUP(tbEquipe[[#This Row],[Nome]],tbFOPAG[[Nome]:[Cargo]],2,0),"&lt;Selecionar Nome&gt;")</f>
        <v>&lt;Selecionar Nome&gt;</v>
      </c>
      <c r="E240">
        <f>176*tbEquipe[[#This Row],[Alocação]]</f>
        <v>0</v>
      </c>
      <c r="F240" s="34"/>
      <c r="G2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0" s="1"/>
    </row>
    <row r="241" spans="2:8" hidden="1" x14ac:dyDescent="0.25">
      <c r="B241" s="25" t="str">
        <f>IFERROR(VLOOKUP(tbEquipe[[#This Row],[Nome]],tbFOPAG[[Nome]:[Cargo]],2,0),"&lt;Selecionar Nome&gt;")</f>
        <v>&lt;Selecionar Nome&gt;</v>
      </c>
      <c r="E241">
        <f>176*tbEquipe[[#This Row],[Alocação]]</f>
        <v>0</v>
      </c>
      <c r="F241" s="34"/>
      <c r="G2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1" s="1"/>
    </row>
    <row r="242" spans="2:8" hidden="1" x14ac:dyDescent="0.25">
      <c r="B242" s="25" t="str">
        <f>IFERROR(VLOOKUP(tbEquipe[[#This Row],[Nome]],tbFOPAG[[Nome]:[Cargo]],2,0),"&lt;Selecionar Nome&gt;")</f>
        <v>&lt;Selecionar Nome&gt;</v>
      </c>
      <c r="E242">
        <f>176*tbEquipe[[#This Row],[Alocação]]</f>
        <v>0</v>
      </c>
      <c r="F242" s="34"/>
      <c r="G2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2" s="1"/>
    </row>
    <row r="243" spans="2:8" hidden="1" x14ac:dyDescent="0.25">
      <c r="B243" s="25" t="str">
        <f>IFERROR(VLOOKUP(tbEquipe[[#This Row],[Nome]],tbFOPAG[[Nome]:[Cargo]],2,0),"&lt;Selecionar Nome&gt;")</f>
        <v>&lt;Selecionar Nome&gt;</v>
      </c>
      <c r="E243">
        <f>176*tbEquipe[[#This Row],[Alocação]]</f>
        <v>0</v>
      </c>
      <c r="F243" s="34"/>
      <c r="G2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3" s="1"/>
    </row>
    <row r="244" spans="2:8" hidden="1" x14ac:dyDescent="0.25">
      <c r="B244" s="25" t="str">
        <f>IFERROR(VLOOKUP(tbEquipe[[#This Row],[Nome]],tbFOPAG[[Nome]:[Cargo]],2,0),"&lt;Selecionar Nome&gt;")</f>
        <v>&lt;Selecionar Nome&gt;</v>
      </c>
      <c r="E244">
        <f>176*tbEquipe[[#This Row],[Alocação]]</f>
        <v>0</v>
      </c>
      <c r="F244" s="34"/>
      <c r="G2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4" s="1"/>
    </row>
    <row r="245" spans="2:8" hidden="1" x14ac:dyDescent="0.25">
      <c r="B245" s="25" t="str">
        <f>IFERROR(VLOOKUP(tbEquipe[[#This Row],[Nome]],tbFOPAG[[Nome]:[Cargo]],2,0),"&lt;Selecionar Nome&gt;")</f>
        <v>&lt;Selecionar Nome&gt;</v>
      </c>
      <c r="E245">
        <f>176*tbEquipe[[#This Row],[Alocação]]</f>
        <v>0</v>
      </c>
      <c r="F245" s="34"/>
      <c r="G2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5" s="1"/>
    </row>
    <row r="246" spans="2:8" hidden="1" x14ac:dyDescent="0.25">
      <c r="B246" s="25" t="str">
        <f>IFERROR(VLOOKUP(tbEquipe[[#This Row],[Nome]],tbFOPAG[[Nome]:[Cargo]],2,0),"&lt;Selecionar Nome&gt;")</f>
        <v>&lt;Selecionar Nome&gt;</v>
      </c>
      <c r="E246">
        <f>176*tbEquipe[[#This Row],[Alocação]]</f>
        <v>0</v>
      </c>
      <c r="F246" s="34"/>
      <c r="G2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6" s="1"/>
    </row>
    <row r="247" spans="2:8" hidden="1" x14ac:dyDescent="0.25">
      <c r="B247" s="25" t="str">
        <f>IFERROR(VLOOKUP(tbEquipe[[#This Row],[Nome]],tbFOPAG[[Nome]:[Cargo]],2,0),"&lt;Selecionar Nome&gt;")</f>
        <v>&lt;Selecionar Nome&gt;</v>
      </c>
      <c r="E247">
        <f>176*tbEquipe[[#This Row],[Alocação]]</f>
        <v>0</v>
      </c>
      <c r="F247" s="34"/>
      <c r="G2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7" s="1"/>
    </row>
    <row r="248" spans="2:8" hidden="1" x14ac:dyDescent="0.25">
      <c r="B248" s="25" t="str">
        <f>IFERROR(VLOOKUP(tbEquipe[[#This Row],[Nome]],tbFOPAG[[Nome]:[Cargo]],2,0),"&lt;Selecionar Nome&gt;")</f>
        <v>&lt;Selecionar Nome&gt;</v>
      </c>
      <c r="E248">
        <f>176*tbEquipe[[#This Row],[Alocação]]</f>
        <v>0</v>
      </c>
      <c r="F248" s="34"/>
      <c r="G2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8" s="1"/>
    </row>
    <row r="249" spans="2:8" hidden="1" x14ac:dyDescent="0.25">
      <c r="B249" s="25" t="str">
        <f>IFERROR(VLOOKUP(tbEquipe[[#This Row],[Nome]],tbFOPAG[[Nome]:[Cargo]],2,0),"&lt;Selecionar Nome&gt;")</f>
        <v>&lt;Selecionar Nome&gt;</v>
      </c>
      <c r="E249">
        <f>176*tbEquipe[[#This Row],[Alocação]]</f>
        <v>0</v>
      </c>
      <c r="F249" s="34"/>
      <c r="G2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49" s="1"/>
    </row>
    <row r="250" spans="2:8" hidden="1" x14ac:dyDescent="0.25">
      <c r="B250" s="25" t="str">
        <f>IFERROR(VLOOKUP(tbEquipe[[#This Row],[Nome]],tbFOPAG[[Nome]:[Cargo]],2,0),"&lt;Selecionar Nome&gt;")</f>
        <v>&lt;Selecionar Nome&gt;</v>
      </c>
      <c r="E250">
        <f>176*tbEquipe[[#This Row],[Alocação]]</f>
        <v>0</v>
      </c>
      <c r="F250" s="34"/>
      <c r="G2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0" s="1"/>
    </row>
    <row r="251" spans="2:8" hidden="1" x14ac:dyDescent="0.25">
      <c r="B251" s="25" t="str">
        <f>IFERROR(VLOOKUP(tbEquipe[[#This Row],[Nome]],tbFOPAG[[Nome]:[Cargo]],2,0),"&lt;Selecionar Nome&gt;")</f>
        <v>&lt;Selecionar Nome&gt;</v>
      </c>
      <c r="E251">
        <f>176*tbEquipe[[#This Row],[Alocação]]</f>
        <v>0</v>
      </c>
      <c r="F251" s="34"/>
      <c r="G2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1" s="1"/>
    </row>
    <row r="252" spans="2:8" hidden="1" x14ac:dyDescent="0.25">
      <c r="B252" s="25" t="str">
        <f>IFERROR(VLOOKUP(tbEquipe[[#This Row],[Nome]],tbFOPAG[[Nome]:[Cargo]],2,0),"&lt;Selecionar Nome&gt;")</f>
        <v>&lt;Selecionar Nome&gt;</v>
      </c>
      <c r="E252">
        <f>176*tbEquipe[[#This Row],[Alocação]]</f>
        <v>0</v>
      </c>
      <c r="F252" s="34"/>
      <c r="G2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2" s="1"/>
    </row>
    <row r="253" spans="2:8" hidden="1" x14ac:dyDescent="0.25">
      <c r="B253" s="25" t="str">
        <f>IFERROR(VLOOKUP(tbEquipe[[#This Row],[Nome]],tbFOPAG[[Nome]:[Cargo]],2,0),"&lt;Selecionar Nome&gt;")</f>
        <v>&lt;Selecionar Nome&gt;</v>
      </c>
      <c r="E253">
        <f>176*tbEquipe[[#This Row],[Alocação]]</f>
        <v>0</v>
      </c>
      <c r="F253" s="34"/>
      <c r="G2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3" s="1"/>
    </row>
    <row r="254" spans="2:8" hidden="1" x14ac:dyDescent="0.25">
      <c r="B254" s="25" t="str">
        <f>IFERROR(VLOOKUP(tbEquipe[[#This Row],[Nome]],tbFOPAG[[Nome]:[Cargo]],2,0),"&lt;Selecionar Nome&gt;")</f>
        <v>&lt;Selecionar Nome&gt;</v>
      </c>
      <c r="E254">
        <f>176*tbEquipe[[#This Row],[Alocação]]</f>
        <v>0</v>
      </c>
      <c r="F254" s="34"/>
      <c r="G2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4" s="1"/>
    </row>
    <row r="255" spans="2:8" hidden="1" x14ac:dyDescent="0.25">
      <c r="B255" s="25" t="str">
        <f>IFERROR(VLOOKUP(tbEquipe[[#This Row],[Nome]],tbFOPAG[[Nome]:[Cargo]],2,0),"&lt;Selecionar Nome&gt;")</f>
        <v>&lt;Selecionar Nome&gt;</v>
      </c>
      <c r="E255">
        <f>176*tbEquipe[[#This Row],[Alocação]]</f>
        <v>0</v>
      </c>
      <c r="F255" s="34"/>
      <c r="G2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5" s="1"/>
    </row>
    <row r="256" spans="2:8" hidden="1" x14ac:dyDescent="0.25">
      <c r="B256" s="25" t="str">
        <f>IFERROR(VLOOKUP(tbEquipe[[#This Row],[Nome]],tbFOPAG[[Nome]:[Cargo]],2,0),"&lt;Selecionar Nome&gt;")</f>
        <v>&lt;Selecionar Nome&gt;</v>
      </c>
      <c r="E256">
        <f>176*tbEquipe[[#This Row],[Alocação]]</f>
        <v>0</v>
      </c>
      <c r="F256" s="34"/>
      <c r="G2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6" s="1"/>
    </row>
    <row r="257" spans="2:8" hidden="1" x14ac:dyDescent="0.25">
      <c r="B257" s="25" t="str">
        <f>IFERROR(VLOOKUP(tbEquipe[[#This Row],[Nome]],tbFOPAG[[Nome]:[Cargo]],2,0),"&lt;Selecionar Nome&gt;")</f>
        <v>&lt;Selecionar Nome&gt;</v>
      </c>
      <c r="E257">
        <f>176*tbEquipe[[#This Row],[Alocação]]</f>
        <v>0</v>
      </c>
      <c r="F257" s="34"/>
      <c r="G2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7" s="1"/>
    </row>
    <row r="258" spans="2:8" hidden="1" x14ac:dyDescent="0.25">
      <c r="B258" s="25" t="str">
        <f>IFERROR(VLOOKUP(tbEquipe[[#This Row],[Nome]],tbFOPAG[[Nome]:[Cargo]],2,0),"&lt;Selecionar Nome&gt;")</f>
        <v>&lt;Selecionar Nome&gt;</v>
      </c>
      <c r="E258">
        <f>176*tbEquipe[[#This Row],[Alocação]]</f>
        <v>0</v>
      </c>
      <c r="F258" s="34"/>
      <c r="G2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8" s="1"/>
    </row>
    <row r="259" spans="2:8" hidden="1" x14ac:dyDescent="0.25">
      <c r="B259" s="25" t="str">
        <f>IFERROR(VLOOKUP(tbEquipe[[#This Row],[Nome]],tbFOPAG[[Nome]:[Cargo]],2,0),"&lt;Selecionar Nome&gt;")</f>
        <v>&lt;Selecionar Nome&gt;</v>
      </c>
      <c r="E259">
        <f>176*tbEquipe[[#This Row],[Alocação]]</f>
        <v>0</v>
      </c>
      <c r="F259" s="34"/>
      <c r="G2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59" s="1"/>
    </row>
    <row r="260" spans="2:8" hidden="1" x14ac:dyDescent="0.25">
      <c r="B260" s="25" t="str">
        <f>IFERROR(VLOOKUP(tbEquipe[[#This Row],[Nome]],tbFOPAG[[Nome]:[Cargo]],2,0),"&lt;Selecionar Nome&gt;")</f>
        <v>&lt;Selecionar Nome&gt;</v>
      </c>
      <c r="E260">
        <f>176*tbEquipe[[#This Row],[Alocação]]</f>
        <v>0</v>
      </c>
      <c r="F260" s="34"/>
      <c r="G2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0" s="1"/>
    </row>
    <row r="261" spans="2:8" hidden="1" x14ac:dyDescent="0.25">
      <c r="B261" s="25" t="str">
        <f>IFERROR(VLOOKUP(tbEquipe[[#This Row],[Nome]],tbFOPAG[[Nome]:[Cargo]],2,0),"&lt;Selecionar Nome&gt;")</f>
        <v>&lt;Selecionar Nome&gt;</v>
      </c>
      <c r="E261">
        <f>176*tbEquipe[[#This Row],[Alocação]]</f>
        <v>0</v>
      </c>
      <c r="F261" s="34"/>
      <c r="G2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1" s="1"/>
    </row>
    <row r="262" spans="2:8" hidden="1" x14ac:dyDescent="0.25">
      <c r="B262" s="25" t="str">
        <f>IFERROR(VLOOKUP(tbEquipe[[#This Row],[Nome]],tbFOPAG[[Nome]:[Cargo]],2,0),"&lt;Selecionar Nome&gt;")</f>
        <v>&lt;Selecionar Nome&gt;</v>
      </c>
      <c r="E262">
        <f>176*tbEquipe[[#This Row],[Alocação]]</f>
        <v>0</v>
      </c>
      <c r="F262" s="34"/>
      <c r="G2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2" s="1"/>
    </row>
    <row r="263" spans="2:8" hidden="1" x14ac:dyDescent="0.25">
      <c r="B263" s="25" t="str">
        <f>IFERROR(VLOOKUP(tbEquipe[[#This Row],[Nome]],tbFOPAG[[Nome]:[Cargo]],2,0),"&lt;Selecionar Nome&gt;")</f>
        <v>&lt;Selecionar Nome&gt;</v>
      </c>
      <c r="E263">
        <f>176*tbEquipe[[#This Row],[Alocação]]</f>
        <v>0</v>
      </c>
      <c r="F263" s="34"/>
      <c r="G2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3" s="1"/>
    </row>
    <row r="264" spans="2:8" hidden="1" x14ac:dyDescent="0.25">
      <c r="B264" s="25" t="str">
        <f>IFERROR(VLOOKUP(tbEquipe[[#This Row],[Nome]],tbFOPAG[[Nome]:[Cargo]],2,0),"&lt;Selecionar Nome&gt;")</f>
        <v>&lt;Selecionar Nome&gt;</v>
      </c>
      <c r="E264">
        <f>176*tbEquipe[[#This Row],[Alocação]]</f>
        <v>0</v>
      </c>
      <c r="F264" s="34"/>
      <c r="G2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4" s="1"/>
    </row>
    <row r="265" spans="2:8" hidden="1" x14ac:dyDescent="0.25">
      <c r="B265" s="25" t="str">
        <f>IFERROR(VLOOKUP(tbEquipe[[#This Row],[Nome]],tbFOPAG[[Nome]:[Cargo]],2,0),"&lt;Selecionar Nome&gt;")</f>
        <v>&lt;Selecionar Nome&gt;</v>
      </c>
      <c r="E265">
        <f>176*tbEquipe[[#This Row],[Alocação]]</f>
        <v>0</v>
      </c>
      <c r="F265" s="34"/>
      <c r="G2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5" s="1"/>
    </row>
    <row r="266" spans="2:8" hidden="1" x14ac:dyDescent="0.25">
      <c r="B266" s="25" t="str">
        <f>IFERROR(VLOOKUP(tbEquipe[[#This Row],[Nome]],tbFOPAG[[Nome]:[Cargo]],2,0),"&lt;Selecionar Nome&gt;")</f>
        <v>&lt;Selecionar Nome&gt;</v>
      </c>
      <c r="E266">
        <f>176*tbEquipe[[#This Row],[Alocação]]</f>
        <v>0</v>
      </c>
      <c r="F266" s="34"/>
      <c r="G2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6" s="1"/>
    </row>
    <row r="267" spans="2:8" hidden="1" x14ac:dyDescent="0.25">
      <c r="B267" s="25" t="str">
        <f>IFERROR(VLOOKUP(tbEquipe[[#This Row],[Nome]],tbFOPAG[[Nome]:[Cargo]],2,0),"&lt;Selecionar Nome&gt;")</f>
        <v>&lt;Selecionar Nome&gt;</v>
      </c>
      <c r="E267">
        <f>176*tbEquipe[[#This Row],[Alocação]]</f>
        <v>0</v>
      </c>
      <c r="F267" s="34"/>
      <c r="G2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7" s="1"/>
    </row>
    <row r="268" spans="2:8" hidden="1" x14ac:dyDescent="0.25">
      <c r="B268" s="25" t="str">
        <f>IFERROR(VLOOKUP(tbEquipe[[#This Row],[Nome]],tbFOPAG[[Nome]:[Cargo]],2,0),"&lt;Selecionar Nome&gt;")</f>
        <v>&lt;Selecionar Nome&gt;</v>
      </c>
      <c r="E268">
        <f>176*tbEquipe[[#This Row],[Alocação]]</f>
        <v>0</v>
      </c>
      <c r="F268" s="34"/>
      <c r="G2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8" s="1"/>
    </row>
    <row r="269" spans="2:8" hidden="1" x14ac:dyDescent="0.25">
      <c r="B269" s="25" t="str">
        <f>IFERROR(VLOOKUP(tbEquipe[[#This Row],[Nome]],tbFOPAG[[Nome]:[Cargo]],2,0),"&lt;Selecionar Nome&gt;")</f>
        <v>&lt;Selecionar Nome&gt;</v>
      </c>
      <c r="E269">
        <f>176*tbEquipe[[#This Row],[Alocação]]</f>
        <v>0</v>
      </c>
      <c r="F269" s="34"/>
      <c r="G2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69" s="1"/>
    </row>
    <row r="270" spans="2:8" hidden="1" x14ac:dyDescent="0.25">
      <c r="B270" s="25" t="str">
        <f>IFERROR(VLOOKUP(tbEquipe[[#This Row],[Nome]],tbFOPAG[[Nome]:[Cargo]],2,0),"&lt;Selecionar Nome&gt;")</f>
        <v>&lt;Selecionar Nome&gt;</v>
      </c>
      <c r="E270">
        <f>176*tbEquipe[[#This Row],[Alocação]]</f>
        <v>0</v>
      </c>
      <c r="F270" s="34"/>
      <c r="G2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0" s="1"/>
    </row>
    <row r="271" spans="2:8" hidden="1" x14ac:dyDescent="0.25">
      <c r="B271" s="25" t="str">
        <f>IFERROR(VLOOKUP(tbEquipe[[#This Row],[Nome]],tbFOPAG[[Nome]:[Cargo]],2,0),"&lt;Selecionar Nome&gt;")</f>
        <v>&lt;Selecionar Nome&gt;</v>
      </c>
      <c r="E271">
        <f>176*tbEquipe[[#This Row],[Alocação]]</f>
        <v>0</v>
      </c>
      <c r="F271" s="34"/>
      <c r="G2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1" s="1"/>
    </row>
    <row r="272" spans="2:8" hidden="1" x14ac:dyDescent="0.25">
      <c r="B272" s="25" t="str">
        <f>IFERROR(VLOOKUP(tbEquipe[[#This Row],[Nome]],tbFOPAG[[Nome]:[Cargo]],2,0),"&lt;Selecionar Nome&gt;")</f>
        <v>&lt;Selecionar Nome&gt;</v>
      </c>
      <c r="E272">
        <f>176*tbEquipe[[#This Row],[Alocação]]</f>
        <v>0</v>
      </c>
      <c r="F272" s="34"/>
      <c r="G2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2" s="1"/>
    </row>
    <row r="273" spans="2:8" hidden="1" x14ac:dyDescent="0.25">
      <c r="B273" s="25" t="str">
        <f>IFERROR(VLOOKUP(tbEquipe[[#This Row],[Nome]],tbFOPAG[[Nome]:[Cargo]],2,0),"&lt;Selecionar Nome&gt;")</f>
        <v>&lt;Selecionar Nome&gt;</v>
      </c>
      <c r="E273">
        <f>176*tbEquipe[[#This Row],[Alocação]]</f>
        <v>0</v>
      </c>
      <c r="F273" s="34"/>
      <c r="G2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3" s="1"/>
    </row>
    <row r="274" spans="2:8" hidden="1" x14ac:dyDescent="0.25">
      <c r="B274" s="25" t="str">
        <f>IFERROR(VLOOKUP(tbEquipe[[#This Row],[Nome]],tbFOPAG[[Nome]:[Cargo]],2,0),"&lt;Selecionar Nome&gt;")</f>
        <v>&lt;Selecionar Nome&gt;</v>
      </c>
      <c r="E274">
        <f>176*tbEquipe[[#This Row],[Alocação]]</f>
        <v>0</v>
      </c>
      <c r="F274" s="34"/>
      <c r="G2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4" s="1"/>
    </row>
    <row r="275" spans="2:8" hidden="1" x14ac:dyDescent="0.25">
      <c r="B275" s="25" t="str">
        <f>IFERROR(VLOOKUP(tbEquipe[[#This Row],[Nome]],tbFOPAG[[Nome]:[Cargo]],2,0),"&lt;Selecionar Nome&gt;")</f>
        <v>&lt;Selecionar Nome&gt;</v>
      </c>
      <c r="E275">
        <f>176*tbEquipe[[#This Row],[Alocação]]</f>
        <v>0</v>
      </c>
      <c r="F275" s="34"/>
      <c r="G2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5" s="1"/>
    </row>
    <row r="276" spans="2:8" hidden="1" x14ac:dyDescent="0.25">
      <c r="B276" s="25" t="str">
        <f>IFERROR(VLOOKUP(tbEquipe[[#This Row],[Nome]],tbFOPAG[[Nome]:[Cargo]],2,0),"&lt;Selecionar Nome&gt;")</f>
        <v>&lt;Selecionar Nome&gt;</v>
      </c>
      <c r="E276">
        <f>176*tbEquipe[[#This Row],[Alocação]]</f>
        <v>0</v>
      </c>
      <c r="F276" s="34"/>
      <c r="G2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6" s="1"/>
    </row>
    <row r="277" spans="2:8" hidden="1" x14ac:dyDescent="0.25">
      <c r="B277" s="25" t="str">
        <f>IFERROR(VLOOKUP(tbEquipe[[#This Row],[Nome]],tbFOPAG[[Nome]:[Cargo]],2,0),"&lt;Selecionar Nome&gt;")</f>
        <v>&lt;Selecionar Nome&gt;</v>
      </c>
      <c r="E277">
        <f>176*tbEquipe[[#This Row],[Alocação]]</f>
        <v>0</v>
      </c>
      <c r="F277" s="34"/>
      <c r="G2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7" s="1"/>
    </row>
    <row r="278" spans="2:8" hidden="1" x14ac:dyDescent="0.25">
      <c r="B278" s="25" t="str">
        <f>IFERROR(VLOOKUP(tbEquipe[[#This Row],[Nome]],tbFOPAG[[Nome]:[Cargo]],2,0),"&lt;Selecionar Nome&gt;")</f>
        <v>&lt;Selecionar Nome&gt;</v>
      </c>
      <c r="E278">
        <f>176*tbEquipe[[#This Row],[Alocação]]</f>
        <v>0</v>
      </c>
      <c r="F278" s="34"/>
      <c r="G2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8" s="1"/>
    </row>
    <row r="279" spans="2:8" hidden="1" x14ac:dyDescent="0.25">
      <c r="B279" s="25" t="str">
        <f>IFERROR(VLOOKUP(tbEquipe[[#This Row],[Nome]],tbFOPAG[[Nome]:[Cargo]],2,0),"&lt;Selecionar Nome&gt;")</f>
        <v>&lt;Selecionar Nome&gt;</v>
      </c>
      <c r="E279">
        <f>176*tbEquipe[[#This Row],[Alocação]]</f>
        <v>0</v>
      </c>
      <c r="F279" s="34"/>
      <c r="G2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79" s="1"/>
    </row>
    <row r="280" spans="2:8" hidden="1" x14ac:dyDescent="0.25">
      <c r="B280" s="25" t="str">
        <f>IFERROR(VLOOKUP(tbEquipe[[#This Row],[Nome]],tbFOPAG[[Nome]:[Cargo]],2,0),"&lt;Selecionar Nome&gt;")</f>
        <v>&lt;Selecionar Nome&gt;</v>
      </c>
      <c r="E280">
        <f>176*tbEquipe[[#This Row],[Alocação]]</f>
        <v>0</v>
      </c>
      <c r="F280" s="34"/>
      <c r="G2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0" s="1"/>
    </row>
    <row r="281" spans="2:8" hidden="1" x14ac:dyDescent="0.25">
      <c r="B281" s="25" t="str">
        <f>IFERROR(VLOOKUP(tbEquipe[[#This Row],[Nome]],tbFOPAG[[Nome]:[Cargo]],2,0),"&lt;Selecionar Nome&gt;")</f>
        <v>&lt;Selecionar Nome&gt;</v>
      </c>
      <c r="E281">
        <f>176*tbEquipe[[#This Row],[Alocação]]</f>
        <v>0</v>
      </c>
      <c r="F281" s="34"/>
      <c r="G2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1" s="1"/>
    </row>
    <row r="282" spans="2:8" hidden="1" x14ac:dyDescent="0.25">
      <c r="B282" s="25" t="str">
        <f>IFERROR(VLOOKUP(tbEquipe[[#This Row],[Nome]],tbFOPAG[[Nome]:[Cargo]],2,0),"&lt;Selecionar Nome&gt;")</f>
        <v>&lt;Selecionar Nome&gt;</v>
      </c>
      <c r="E282">
        <f>176*tbEquipe[[#This Row],[Alocação]]</f>
        <v>0</v>
      </c>
      <c r="F282" s="34"/>
      <c r="G2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2" s="1"/>
    </row>
    <row r="283" spans="2:8" hidden="1" x14ac:dyDescent="0.25">
      <c r="B283" s="25" t="str">
        <f>IFERROR(VLOOKUP(tbEquipe[[#This Row],[Nome]],tbFOPAG[[Nome]:[Cargo]],2,0),"&lt;Selecionar Nome&gt;")</f>
        <v>&lt;Selecionar Nome&gt;</v>
      </c>
      <c r="E283">
        <f>176*tbEquipe[[#This Row],[Alocação]]</f>
        <v>0</v>
      </c>
      <c r="F283" s="34"/>
      <c r="G2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3" s="1"/>
    </row>
    <row r="284" spans="2:8" hidden="1" x14ac:dyDescent="0.25">
      <c r="B284" s="25" t="str">
        <f>IFERROR(VLOOKUP(tbEquipe[[#This Row],[Nome]],tbFOPAG[[Nome]:[Cargo]],2,0),"&lt;Selecionar Nome&gt;")</f>
        <v>&lt;Selecionar Nome&gt;</v>
      </c>
      <c r="E284">
        <f>176*tbEquipe[[#This Row],[Alocação]]</f>
        <v>0</v>
      </c>
      <c r="F284" s="34"/>
      <c r="G2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4" s="1"/>
    </row>
    <row r="285" spans="2:8" hidden="1" x14ac:dyDescent="0.25">
      <c r="B285" s="25" t="str">
        <f>IFERROR(VLOOKUP(tbEquipe[[#This Row],[Nome]],tbFOPAG[[Nome]:[Cargo]],2,0),"&lt;Selecionar Nome&gt;")</f>
        <v>&lt;Selecionar Nome&gt;</v>
      </c>
      <c r="E285">
        <f>176*tbEquipe[[#This Row],[Alocação]]</f>
        <v>0</v>
      </c>
      <c r="F285" s="34"/>
      <c r="G2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5" s="1"/>
    </row>
    <row r="286" spans="2:8" hidden="1" x14ac:dyDescent="0.25">
      <c r="B286" s="25" t="str">
        <f>IFERROR(VLOOKUP(tbEquipe[[#This Row],[Nome]],tbFOPAG[[Nome]:[Cargo]],2,0),"&lt;Selecionar Nome&gt;")</f>
        <v>&lt;Selecionar Nome&gt;</v>
      </c>
      <c r="E286">
        <f>176*tbEquipe[[#This Row],[Alocação]]</f>
        <v>0</v>
      </c>
      <c r="F286" s="34"/>
      <c r="G2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6" s="1"/>
    </row>
    <row r="287" spans="2:8" hidden="1" x14ac:dyDescent="0.25">
      <c r="B287" s="25" t="str">
        <f>IFERROR(VLOOKUP(tbEquipe[[#This Row],[Nome]],tbFOPAG[[Nome]:[Cargo]],2,0),"&lt;Selecionar Nome&gt;")</f>
        <v>&lt;Selecionar Nome&gt;</v>
      </c>
      <c r="E287">
        <f>176*tbEquipe[[#This Row],[Alocação]]</f>
        <v>0</v>
      </c>
      <c r="F287" s="34"/>
      <c r="G2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7" s="1"/>
    </row>
    <row r="288" spans="2:8" hidden="1" x14ac:dyDescent="0.25">
      <c r="B288" s="25" t="str">
        <f>IFERROR(VLOOKUP(tbEquipe[[#This Row],[Nome]],tbFOPAG[[Nome]:[Cargo]],2,0),"&lt;Selecionar Nome&gt;")</f>
        <v>&lt;Selecionar Nome&gt;</v>
      </c>
      <c r="E288">
        <f>176*tbEquipe[[#This Row],[Alocação]]</f>
        <v>0</v>
      </c>
      <c r="F288" s="34"/>
      <c r="G2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8" s="1"/>
    </row>
    <row r="289" spans="2:8" hidden="1" x14ac:dyDescent="0.25">
      <c r="B289" s="25" t="str">
        <f>IFERROR(VLOOKUP(tbEquipe[[#This Row],[Nome]],tbFOPAG[[Nome]:[Cargo]],2,0),"&lt;Selecionar Nome&gt;")</f>
        <v>&lt;Selecionar Nome&gt;</v>
      </c>
      <c r="E289">
        <f>176*tbEquipe[[#This Row],[Alocação]]</f>
        <v>0</v>
      </c>
      <c r="F289" s="34"/>
      <c r="G2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89" s="1"/>
    </row>
    <row r="290" spans="2:8" hidden="1" x14ac:dyDescent="0.25">
      <c r="B290" s="25" t="str">
        <f>IFERROR(VLOOKUP(tbEquipe[[#This Row],[Nome]],tbFOPAG[[Nome]:[Cargo]],2,0),"&lt;Selecionar Nome&gt;")</f>
        <v>&lt;Selecionar Nome&gt;</v>
      </c>
      <c r="E290">
        <f>176*tbEquipe[[#This Row],[Alocação]]</f>
        <v>0</v>
      </c>
      <c r="F290" s="34"/>
      <c r="G2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0" s="1"/>
    </row>
    <row r="291" spans="2:8" hidden="1" x14ac:dyDescent="0.25">
      <c r="B291" s="25" t="str">
        <f>IFERROR(VLOOKUP(tbEquipe[[#This Row],[Nome]],tbFOPAG[[Nome]:[Cargo]],2,0),"&lt;Selecionar Nome&gt;")</f>
        <v>&lt;Selecionar Nome&gt;</v>
      </c>
      <c r="E291">
        <f>176*tbEquipe[[#This Row],[Alocação]]</f>
        <v>0</v>
      </c>
      <c r="F291" s="34"/>
      <c r="G2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1" s="1"/>
    </row>
    <row r="292" spans="2:8" hidden="1" x14ac:dyDescent="0.25">
      <c r="B292" s="25" t="str">
        <f>IFERROR(VLOOKUP(tbEquipe[[#This Row],[Nome]],tbFOPAG[[Nome]:[Cargo]],2,0),"&lt;Selecionar Nome&gt;")</f>
        <v>&lt;Selecionar Nome&gt;</v>
      </c>
      <c r="E292">
        <f>176*tbEquipe[[#This Row],[Alocação]]</f>
        <v>0</v>
      </c>
      <c r="F292" s="34"/>
      <c r="G2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2" s="1"/>
    </row>
    <row r="293" spans="2:8" hidden="1" x14ac:dyDescent="0.25">
      <c r="B293" s="25" t="str">
        <f>IFERROR(VLOOKUP(tbEquipe[[#This Row],[Nome]],tbFOPAG[[Nome]:[Cargo]],2,0),"&lt;Selecionar Nome&gt;")</f>
        <v>&lt;Selecionar Nome&gt;</v>
      </c>
      <c r="E293">
        <f>176*tbEquipe[[#This Row],[Alocação]]</f>
        <v>0</v>
      </c>
      <c r="F293" s="34"/>
      <c r="G2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3" s="1"/>
    </row>
    <row r="294" spans="2:8" hidden="1" x14ac:dyDescent="0.25">
      <c r="B294" s="25" t="str">
        <f>IFERROR(VLOOKUP(tbEquipe[[#This Row],[Nome]],tbFOPAG[[Nome]:[Cargo]],2,0),"&lt;Selecionar Nome&gt;")</f>
        <v>&lt;Selecionar Nome&gt;</v>
      </c>
      <c r="E294">
        <f>176*tbEquipe[[#This Row],[Alocação]]</f>
        <v>0</v>
      </c>
      <c r="F294" s="34"/>
      <c r="G2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4" s="1"/>
    </row>
    <row r="295" spans="2:8" hidden="1" x14ac:dyDescent="0.25">
      <c r="B295" s="25" t="str">
        <f>IFERROR(VLOOKUP(tbEquipe[[#This Row],[Nome]],tbFOPAG[[Nome]:[Cargo]],2,0),"&lt;Selecionar Nome&gt;")</f>
        <v>&lt;Selecionar Nome&gt;</v>
      </c>
      <c r="E295">
        <f>176*tbEquipe[[#This Row],[Alocação]]</f>
        <v>0</v>
      </c>
      <c r="F295" s="34"/>
      <c r="G2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5" s="1"/>
    </row>
    <row r="296" spans="2:8" hidden="1" x14ac:dyDescent="0.25">
      <c r="B296" s="25" t="str">
        <f>IFERROR(VLOOKUP(tbEquipe[[#This Row],[Nome]],tbFOPAG[[Nome]:[Cargo]],2,0),"&lt;Selecionar Nome&gt;")</f>
        <v>&lt;Selecionar Nome&gt;</v>
      </c>
      <c r="E296">
        <f>176*tbEquipe[[#This Row],[Alocação]]</f>
        <v>0</v>
      </c>
      <c r="F296" s="34"/>
      <c r="G2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6" s="1"/>
    </row>
    <row r="297" spans="2:8" hidden="1" x14ac:dyDescent="0.25">
      <c r="B297" s="25" t="str">
        <f>IFERROR(VLOOKUP(tbEquipe[[#This Row],[Nome]],tbFOPAG[[Nome]:[Cargo]],2,0),"&lt;Selecionar Nome&gt;")</f>
        <v>&lt;Selecionar Nome&gt;</v>
      </c>
      <c r="E297">
        <f>176*tbEquipe[[#This Row],[Alocação]]</f>
        <v>0</v>
      </c>
      <c r="F297" s="34"/>
      <c r="G2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7" s="1"/>
    </row>
    <row r="298" spans="2:8" hidden="1" x14ac:dyDescent="0.25">
      <c r="B298" s="25" t="str">
        <f>IFERROR(VLOOKUP(tbEquipe[[#This Row],[Nome]],tbFOPAG[[Nome]:[Cargo]],2,0),"&lt;Selecionar Nome&gt;")</f>
        <v>&lt;Selecionar Nome&gt;</v>
      </c>
      <c r="E298">
        <f>176*tbEquipe[[#This Row],[Alocação]]</f>
        <v>0</v>
      </c>
      <c r="F298" s="34"/>
      <c r="G2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8" s="1"/>
    </row>
    <row r="299" spans="2:8" hidden="1" x14ac:dyDescent="0.25">
      <c r="B299" s="25" t="str">
        <f>IFERROR(VLOOKUP(tbEquipe[[#This Row],[Nome]],tbFOPAG[[Nome]:[Cargo]],2,0),"&lt;Selecionar Nome&gt;")</f>
        <v>&lt;Selecionar Nome&gt;</v>
      </c>
      <c r="E299">
        <f>176*tbEquipe[[#This Row],[Alocação]]</f>
        <v>0</v>
      </c>
      <c r="F299" s="34"/>
      <c r="G2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299" s="1"/>
    </row>
    <row r="300" spans="2:8" hidden="1" x14ac:dyDescent="0.25">
      <c r="B300" s="25" t="str">
        <f>IFERROR(VLOOKUP(tbEquipe[[#This Row],[Nome]],tbFOPAG[[Nome]:[Cargo]],2,0),"&lt;Selecionar Nome&gt;")</f>
        <v>&lt;Selecionar Nome&gt;</v>
      </c>
      <c r="E300">
        <f>176*tbEquipe[[#This Row],[Alocação]]</f>
        <v>0</v>
      </c>
      <c r="F300" s="34"/>
      <c r="G3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0" s="1"/>
    </row>
    <row r="301" spans="2:8" hidden="1" x14ac:dyDescent="0.25">
      <c r="B301" s="25" t="str">
        <f>IFERROR(VLOOKUP(tbEquipe[[#This Row],[Nome]],tbFOPAG[[Nome]:[Cargo]],2,0),"&lt;Selecionar Nome&gt;")</f>
        <v>&lt;Selecionar Nome&gt;</v>
      </c>
      <c r="E301">
        <f>176*tbEquipe[[#This Row],[Alocação]]</f>
        <v>0</v>
      </c>
      <c r="F301" s="34"/>
      <c r="G3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1" s="1"/>
    </row>
    <row r="302" spans="2:8" hidden="1" x14ac:dyDescent="0.25">
      <c r="B302" s="25" t="str">
        <f>IFERROR(VLOOKUP(tbEquipe[[#This Row],[Nome]],tbFOPAG[[Nome]:[Cargo]],2,0),"&lt;Selecionar Nome&gt;")</f>
        <v>&lt;Selecionar Nome&gt;</v>
      </c>
      <c r="E302">
        <f>176*tbEquipe[[#This Row],[Alocação]]</f>
        <v>0</v>
      </c>
      <c r="F302" s="34"/>
      <c r="G3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2" s="1"/>
    </row>
    <row r="303" spans="2:8" hidden="1" x14ac:dyDescent="0.25">
      <c r="B303" s="25" t="str">
        <f>IFERROR(VLOOKUP(tbEquipe[[#This Row],[Nome]],tbFOPAG[[Nome]:[Cargo]],2,0),"&lt;Selecionar Nome&gt;")</f>
        <v>&lt;Selecionar Nome&gt;</v>
      </c>
      <c r="E303">
        <f>176*tbEquipe[[#This Row],[Alocação]]</f>
        <v>0</v>
      </c>
      <c r="F303" s="34"/>
      <c r="G3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3" s="1"/>
    </row>
    <row r="304" spans="2:8" hidden="1" x14ac:dyDescent="0.25">
      <c r="B304" s="25" t="str">
        <f>IFERROR(VLOOKUP(tbEquipe[[#This Row],[Nome]],tbFOPAG[[Nome]:[Cargo]],2,0),"&lt;Selecionar Nome&gt;")</f>
        <v>&lt;Selecionar Nome&gt;</v>
      </c>
      <c r="E304">
        <f>176*tbEquipe[[#This Row],[Alocação]]</f>
        <v>0</v>
      </c>
      <c r="F304" s="34"/>
      <c r="G3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4" s="1"/>
    </row>
    <row r="305" spans="2:8" hidden="1" x14ac:dyDescent="0.25">
      <c r="B305" s="25" t="str">
        <f>IFERROR(VLOOKUP(tbEquipe[[#This Row],[Nome]],tbFOPAG[[Nome]:[Cargo]],2,0),"&lt;Selecionar Nome&gt;")</f>
        <v>&lt;Selecionar Nome&gt;</v>
      </c>
      <c r="E305">
        <f>176*tbEquipe[[#This Row],[Alocação]]</f>
        <v>0</v>
      </c>
      <c r="F305" s="34"/>
      <c r="G3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5" s="1"/>
    </row>
    <row r="306" spans="2:8" hidden="1" x14ac:dyDescent="0.25">
      <c r="B306" s="25" t="str">
        <f>IFERROR(VLOOKUP(tbEquipe[[#This Row],[Nome]],tbFOPAG[[Nome]:[Cargo]],2,0),"&lt;Selecionar Nome&gt;")</f>
        <v>&lt;Selecionar Nome&gt;</v>
      </c>
      <c r="E306">
        <f>176*tbEquipe[[#This Row],[Alocação]]</f>
        <v>0</v>
      </c>
      <c r="F306" s="34"/>
      <c r="G3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6" s="1"/>
    </row>
    <row r="307" spans="2:8" hidden="1" x14ac:dyDescent="0.25">
      <c r="B307" s="25" t="str">
        <f>IFERROR(VLOOKUP(tbEquipe[[#This Row],[Nome]],tbFOPAG[[Nome]:[Cargo]],2,0),"&lt;Selecionar Nome&gt;")</f>
        <v>&lt;Selecionar Nome&gt;</v>
      </c>
      <c r="E307">
        <f>176*tbEquipe[[#This Row],[Alocação]]</f>
        <v>0</v>
      </c>
      <c r="F307" s="34"/>
      <c r="G3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7" s="1"/>
    </row>
    <row r="308" spans="2:8" hidden="1" x14ac:dyDescent="0.25">
      <c r="B308" s="25" t="str">
        <f>IFERROR(VLOOKUP(tbEquipe[[#This Row],[Nome]],tbFOPAG[[Nome]:[Cargo]],2,0),"&lt;Selecionar Nome&gt;")</f>
        <v>&lt;Selecionar Nome&gt;</v>
      </c>
      <c r="E308">
        <f>176*tbEquipe[[#This Row],[Alocação]]</f>
        <v>0</v>
      </c>
      <c r="F308" s="34"/>
      <c r="G3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8" s="1"/>
    </row>
    <row r="309" spans="2:8" hidden="1" x14ac:dyDescent="0.25">
      <c r="B309" s="25" t="str">
        <f>IFERROR(VLOOKUP(tbEquipe[[#This Row],[Nome]],tbFOPAG[[Nome]:[Cargo]],2,0),"&lt;Selecionar Nome&gt;")</f>
        <v>&lt;Selecionar Nome&gt;</v>
      </c>
      <c r="E309">
        <f>176*tbEquipe[[#This Row],[Alocação]]</f>
        <v>0</v>
      </c>
      <c r="F309" s="34"/>
      <c r="G3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09" s="1"/>
    </row>
    <row r="310" spans="2:8" hidden="1" x14ac:dyDescent="0.25">
      <c r="B310" s="25" t="str">
        <f>IFERROR(VLOOKUP(tbEquipe[[#This Row],[Nome]],tbFOPAG[[Nome]:[Cargo]],2,0),"&lt;Selecionar Nome&gt;")</f>
        <v>&lt;Selecionar Nome&gt;</v>
      </c>
      <c r="E310">
        <f>176*tbEquipe[[#This Row],[Alocação]]</f>
        <v>0</v>
      </c>
      <c r="F310" s="34"/>
      <c r="G3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0" s="1"/>
    </row>
    <row r="311" spans="2:8" hidden="1" x14ac:dyDescent="0.25">
      <c r="B311" s="25" t="str">
        <f>IFERROR(VLOOKUP(tbEquipe[[#This Row],[Nome]],tbFOPAG[[Nome]:[Cargo]],2,0),"&lt;Selecionar Nome&gt;")</f>
        <v>&lt;Selecionar Nome&gt;</v>
      </c>
      <c r="E311">
        <f>176*tbEquipe[[#This Row],[Alocação]]</f>
        <v>0</v>
      </c>
      <c r="F311" s="34"/>
      <c r="G3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1" s="1"/>
    </row>
    <row r="312" spans="2:8" hidden="1" x14ac:dyDescent="0.25">
      <c r="B312" s="25" t="str">
        <f>IFERROR(VLOOKUP(tbEquipe[[#This Row],[Nome]],tbFOPAG[[Nome]:[Cargo]],2,0),"&lt;Selecionar Nome&gt;")</f>
        <v>&lt;Selecionar Nome&gt;</v>
      </c>
      <c r="E312">
        <f>176*tbEquipe[[#This Row],[Alocação]]</f>
        <v>0</v>
      </c>
      <c r="F312" s="34"/>
      <c r="G3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2" s="1"/>
    </row>
    <row r="313" spans="2:8" hidden="1" x14ac:dyDescent="0.25">
      <c r="B313" s="25" t="str">
        <f>IFERROR(VLOOKUP(tbEquipe[[#This Row],[Nome]],tbFOPAG[[Nome]:[Cargo]],2,0),"&lt;Selecionar Nome&gt;")</f>
        <v>&lt;Selecionar Nome&gt;</v>
      </c>
      <c r="E313">
        <f>176*tbEquipe[[#This Row],[Alocação]]</f>
        <v>0</v>
      </c>
      <c r="F313" s="34"/>
      <c r="G3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3" s="1"/>
    </row>
    <row r="314" spans="2:8" hidden="1" x14ac:dyDescent="0.25">
      <c r="B314" s="25" t="str">
        <f>IFERROR(VLOOKUP(tbEquipe[[#This Row],[Nome]],tbFOPAG[[Nome]:[Cargo]],2,0),"&lt;Selecionar Nome&gt;")</f>
        <v>&lt;Selecionar Nome&gt;</v>
      </c>
      <c r="E314">
        <f>176*tbEquipe[[#This Row],[Alocação]]</f>
        <v>0</v>
      </c>
      <c r="F314" s="34"/>
      <c r="G3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4" s="1"/>
    </row>
    <row r="315" spans="2:8" hidden="1" x14ac:dyDescent="0.25">
      <c r="B315" s="25" t="str">
        <f>IFERROR(VLOOKUP(tbEquipe[[#This Row],[Nome]],tbFOPAG[[Nome]:[Cargo]],2,0),"&lt;Selecionar Nome&gt;")</f>
        <v>&lt;Selecionar Nome&gt;</v>
      </c>
      <c r="E315">
        <f>176*tbEquipe[[#This Row],[Alocação]]</f>
        <v>0</v>
      </c>
      <c r="F315" s="34"/>
      <c r="G3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5" s="1"/>
    </row>
    <row r="316" spans="2:8" hidden="1" x14ac:dyDescent="0.25">
      <c r="B316" s="25" t="str">
        <f>IFERROR(VLOOKUP(tbEquipe[[#This Row],[Nome]],tbFOPAG[[Nome]:[Cargo]],2,0),"&lt;Selecionar Nome&gt;")</f>
        <v>&lt;Selecionar Nome&gt;</v>
      </c>
      <c r="E316">
        <f>176*tbEquipe[[#This Row],[Alocação]]</f>
        <v>0</v>
      </c>
      <c r="F316" s="34"/>
      <c r="G3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6" s="1"/>
    </row>
    <row r="317" spans="2:8" hidden="1" x14ac:dyDescent="0.25">
      <c r="B317" s="25" t="str">
        <f>IFERROR(VLOOKUP(tbEquipe[[#This Row],[Nome]],tbFOPAG[[Nome]:[Cargo]],2,0),"&lt;Selecionar Nome&gt;")</f>
        <v>&lt;Selecionar Nome&gt;</v>
      </c>
      <c r="E317">
        <f>176*tbEquipe[[#This Row],[Alocação]]</f>
        <v>0</v>
      </c>
      <c r="F317" s="34"/>
      <c r="G3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7" s="1"/>
    </row>
    <row r="318" spans="2:8" hidden="1" x14ac:dyDescent="0.25">
      <c r="B318" s="25" t="str">
        <f>IFERROR(VLOOKUP(tbEquipe[[#This Row],[Nome]],tbFOPAG[[Nome]:[Cargo]],2,0),"&lt;Selecionar Nome&gt;")</f>
        <v>&lt;Selecionar Nome&gt;</v>
      </c>
      <c r="E318">
        <f>176*tbEquipe[[#This Row],[Alocação]]</f>
        <v>0</v>
      </c>
      <c r="F318" s="34"/>
      <c r="G3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8" s="1"/>
    </row>
    <row r="319" spans="2:8" hidden="1" x14ac:dyDescent="0.25">
      <c r="B319" s="25" t="str">
        <f>IFERROR(VLOOKUP(tbEquipe[[#This Row],[Nome]],tbFOPAG[[Nome]:[Cargo]],2,0),"&lt;Selecionar Nome&gt;")</f>
        <v>&lt;Selecionar Nome&gt;</v>
      </c>
      <c r="E319">
        <f>176*tbEquipe[[#This Row],[Alocação]]</f>
        <v>0</v>
      </c>
      <c r="F319" s="34"/>
      <c r="G3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19" s="1"/>
    </row>
    <row r="320" spans="2:8" hidden="1" x14ac:dyDescent="0.25">
      <c r="B320" s="25" t="str">
        <f>IFERROR(VLOOKUP(tbEquipe[[#This Row],[Nome]],tbFOPAG[[Nome]:[Cargo]],2,0),"&lt;Selecionar Nome&gt;")</f>
        <v>&lt;Selecionar Nome&gt;</v>
      </c>
      <c r="E320">
        <f>176*tbEquipe[[#This Row],[Alocação]]</f>
        <v>0</v>
      </c>
      <c r="F320" s="34"/>
      <c r="G3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0" s="1"/>
    </row>
    <row r="321" spans="2:8" hidden="1" x14ac:dyDescent="0.25">
      <c r="B321" s="25" t="str">
        <f>IFERROR(VLOOKUP(tbEquipe[[#This Row],[Nome]],tbFOPAG[[Nome]:[Cargo]],2,0),"&lt;Selecionar Nome&gt;")</f>
        <v>&lt;Selecionar Nome&gt;</v>
      </c>
      <c r="E321">
        <f>176*tbEquipe[[#This Row],[Alocação]]</f>
        <v>0</v>
      </c>
      <c r="F321" s="34"/>
      <c r="G3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1" s="1"/>
    </row>
    <row r="322" spans="2:8" hidden="1" x14ac:dyDescent="0.25">
      <c r="B322" s="25" t="str">
        <f>IFERROR(VLOOKUP(tbEquipe[[#This Row],[Nome]],tbFOPAG[[Nome]:[Cargo]],2,0),"&lt;Selecionar Nome&gt;")</f>
        <v>&lt;Selecionar Nome&gt;</v>
      </c>
      <c r="E322">
        <f>176*tbEquipe[[#This Row],[Alocação]]</f>
        <v>0</v>
      </c>
      <c r="F322" s="34"/>
      <c r="G3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2" s="1"/>
    </row>
    <row r="323" spans="2:8" hidden="1" x14ac:dyDescent="0.25">
      <c r="B323" s="25" t="str">
        <f>IFERROR(VLOOKUP(tbEquipe[[#This Row],[Nome]],tbFOPAG[[Nome]:[Cargo]],2,0),"&lt;Selecionar Nome&gt;")</f>
        <v>&lt;Selecionar Nome&gt;</v>
      </c>
      <c r="E323">
        <f>176*tbEquipe[[#This Row],[Alocação]]</f>
        <v>0</v>
      </c>
      <c r="F323" s="34"/>
      <c r="G3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3" s="1"/>
    </row>
    <row r="324" spans="2:8" hidden="1" x14ac:dyDescent="0.25">
      <c r="B324" s="25" t="str">
        <f>IFERROR(VLOOKUP(tbEquipe[[#This Row],[Nome]],tbFOPAG[[Nome]:[Cargo]],2,0),"&lt;Selecionar Nome&gt;")</f>
        <v>&lt;Selecionar Nome&gt;</v>
      </c>
      <c r="E324">
        <f>176*tbEquipe[[#This Row],[Alocação]]</f>
        <v>0</v>
      </c>
      <c r="F324" s="34"/>
      <c r="G3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4" s="1"/>
    </row>
    <row r="325" spans="2:8" hidden="1" x14ac:dyDescent="0.25">
      <c r="B325" s="25" t="str">
        <f>IFERROR(VLOOKUP(tbEquipe[[#This Row],[Nome]],tbFOPAG[[Nome]:[Cargo]],2,0),"&lt;Selecionar Nome&gt;")</f>
        <v>&lt;Selecionar Nome&gt;</v>
      </c>
      <c r="E325">
        <f>176*tbEquipe[[#This Row],[Alocação]]</f>
        <v>0</v>
      </c>
      <c r="F325" s="34"/>
      <c r="G3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5" s="1"/>
    </row>
    <row r="326" spans="2:8" hidden="1" x14ac:dyDescent="0.25">
      <c r="B326" s="25" t="str">
        <f>IFERROR(VLOOKUP(tbEquipe[[#This Row],[Nome]],tbFOPAG[[Nome]:[Cargo]],2,0),"&lt;Selecionar Nome&gt;")</f>
        <v>&lt;Selecionar Nome&gt;</v>
      </c>
      <c r="E326">
        <f>176*tbEquipe[[#This Row],[Alocação]]</f>
        <v>0</v>
      </c>
      <c r="F326" s="34"/>
      <c r="G3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6" s="1"/>
    </row>
    <row r="327" spans="2:8" hidden="1" x14ac:dyDescent="0.25">
      <c r="B327" s="25" t="str">
        <f>IFERROR(VLOOKUP(tbEquipe[[#This Row],[Nome]],tbFOPAG[[Nome]:[Cargo]],2,0),"&lt;Selecionar Nome&gt;")</f>
        <v>&lt;Selecionar Nome&gt;</v>
      </c>
      <c r="E327">
        <f>176*tbEquipe[[#This Row],[Alocação]]</f>
        <v>0</v>
      </c>
      <c r="F327" s="34"/>
      <c r="G3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7" s="1"/>
    </row>
    <row r="328" spans="2:8" hidden="1" x14ac:dyDescent="0.25">
      <c r="B328" s="25" t="str">
        <f>IFERROR(VLOOKUP(tbEquipe[[#This Row],[Nome]],tbFOPAG[[Nome]:[Cargo]],2,0),"&lt;Selecionar Nome&gt;")</f>
        <v>&lt;Selecionar Nome&gt;</v>
      </c>
      <c r="E328">
        <f>176*tbEquipe[[#This Row],[Alocação]]</f>
        <v>0</v>
      </c>
      <c r="F328" s="34"/>
      <c r="G3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8" s="1"/>
    </row>
    <row r="329" spans="2:8" hidden="1" x14ac:dyDescent="0.25">
      <c r="B329" s="25" t="str">
        <f>IFERROR(VLOOKUP(tbEquipe[[#This Row],[Nome]],tbFOPAG[[Nome]:[Cargo]],2,0),"&lt;Selecionar Nome&gt;")</f>
        <v>&lt;Selecionar Nome&gt;</v>
      </c>
      <c r="E329">
        <f>176*tbEquipe[[#This Row],[Alocação]]</f>
        <v>0</v>
      </c>
      <c r="F329" s="34"/>
      <c r="G3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29" s="1"/>
    </row>
    <row r="330" spans="2:8" hidden="1" x14ac:dyDescent="0.25">
      <c r="B330" s="25" t="str">
        <f>IFERROR(VLOOKUP(tbEquipe[[#This Row],[Nome]],tbFOPAG[[Nome]:[Cargo]],2,0),"&lt;Selecionar Nome&gt;")</f>
        <v>&lt;Selecionar Nome&gt;</v>
      </c>
      <c r="E330">
        <f>176*tbEquipe[[#This Row],[Alocação]]</f>
        <v>0</v>
      </c>
      <c r="F330" s="34"/>
      <c r="G3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0" s="1"/>
    </row>
    <row r="331" spans="2:8" hidden="1" x14ac:dyDescent="0.25">
      <c r="B331" s="25" t="str">
        <f>IFERROR(VLOOKUP(tbEquipe[[#This Row],[Nome]],tbFOPAG[[Nome]:[Cargo]],2,0),"&lt;Selecionar Nome&gt;")</f>
        <v>&lt;Selecionar Nome&gt;</v>
      </c>
      <c r="E331">
        <f>176*tbEquipe[[#This Row],[Alocação]]</f>
        <v>0</v>
      </c>
      <c r="F331" s="34"/>
      <c r="G3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1" s="1"/>
    </row>
    <row r="332" spans="2:8" hidden="1" x14ac:dyDescent="0.25">
      <c r="B332" s="25" t="str">
        <f>IFERROR(VLOOKUP(tbEquipe[[#This Row],[Nome]],tbFOPAG[[Nome]:[Cargo]],2,0),"&lt;Selecionar Nome&gt;")</f>
        <v>&lt;Selecionar Nome&gt;</v>
      </c>
      <c r="E332">
        <f>176*tbEquipe[[#This Row],[Alocação]]</f>
        <v>0</v>
      </c>
      <c r="F332" s="34"/>
      <c r="G3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2" s="1"/>
    </row>
    <row r="333" spans="2:8" hidden="1" x14ac:dyDescent="0.25">
      <c r="B333" s="25" t="str">
        <f>IFERROR(VLOOKUP(tbEquipe[[#This Row],[Nome]],tbFOPAG[[Nome]:[Cargo]],2,0),"&lt;Selecionar Nome&gt;")</f>
        <v>&lt;Selecionar Nome&gt;</v>
      </c>
      <c r="E333">
        <f>176*tbEquipe[[#This Row],[Alocação]]</f>
        <v>0</v>
      </c>
      <c r="F333" s="34"/>
      <c r="G3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3" s="1"/>
    </row>
    <row r="334" spans="2:8" hidden="1" x14ac:dyDescent="0.25">
      <c r="B334" s="25" t="str">
        <f>IFERROR(VLOOKUP(tbEquipe[[#This Row],[Nome]],tbFOPAG[[Nome]:[Cargo]],2,0),"&lt;Selecionar Nome&gt;")</f>
        <v>&lt;Selecionar Nome&gt;</v>
      </c>
      <c r="E334">
        <f>176*tbEquipe[[#This Row],[Alocação]]</f>
        <v>0</v>
      </c>
      <c r="F334" s="34"/>
      <c r="G3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4" s="1"/>
    </row>
    <row r="335" spans="2:8" hidden="1" x14ac:dyDescent="0.25">
      <c r="B335" s="25" t="str">
        <f>IFERROR(VLOOKUP(tbEquipe[[#This Row],[Nome]],tbFOPAG[[Nome]:[Cargo]],2,0),"&lt;Selecionar Nome&gt;")</f>
        <v>&lt;Selecionar Nome&gt;</v>
      </c>
      <c r="E335">
        <f>176*tbEquipe[[#This Row],[Alocação]]</f>
        <v>0</v>
      </c>
      <c r="F335" s="34"/>
      <c r="G3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5" s="1"/>
    </row>
    <row r="336" spans="2:8" hidden="1" x14ac:dyDescent="0.25">
      <c r="B336" s="25" t="str">
        <f>IFERROR(VLOOKUP(tbEquipe[[#This Row],[Nome]],tbFOPAG[[Nome]:[Cargo]],2,0),"&lt;Selecionar Nome&gt;")</f>
        <v>&lt;Selecionar Nome&gt;</v>
      </c>
      <c r="E336">
        <f>176*tbEquipe[[#This Row],[Alocação]]</f>
        <v>0</v>
      </c>
      <c r="F336" s="34"/>
      <c r="G3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6" s="1"/>
    </row>
    <row r="337" spans="2:8" hidden="1" x14ac:dyDescent="0.25">
      <c r="B337" s="25" t="str">
        <f>IFERROR(VLOOKUP(tbEquipe[[#This Row],[Nome]],tbFOPAG[[Nome]:[Cargo]],2,0),"&lt;Selecionar Nome&gt;")</f>
        <v>&lt;Selecionar Nome&gt;</v>
      </c>
      <c r="E337">
        <f>176*tbEquipe[[#This Row],[Alocação]]</f>
        <v>0</v>
      </c>
      <c r="F337" s="34"/>
      <c r="G3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7" s="1"/>
    </row>
    <row r="338" spans="2:8" hidden="1" x14ac:dyDescent="0.25">
      <c r="B338" s="25" t="str">
        <f>IFERROR(VLOOKUP(tbEquipe[[#This Row],[Nome]],tbFOPAG[[Nome]:[Cargo]],2,0),"&lt;Selecionar Nome&gt;")</f>
        <v>&lt;Selecionar Nome&gt;</v>
      </c>
      <c r="E338">
        <f>176*tbEquipe[[#This Row],[Alocação]]</f>
        <v>0</v>
      </c>
      <c r="F338" s="34"/>
      <c r="G3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8" s="1"/>
    </row>
    <row r="339" spans="2:8" hidden="1" x14ac:dyDescent="0.25">
      <c r="B339" s="25" t="str">
        <f>IFERROR(VLOOKUP(tbEquipe[[#This Row],[Nome]],tbFOPAG[[Nome]:[Cargo]],2,0),"&lt;Selecionar Nome&gt;")</f>
        <v>&lt;Selecionar Nome&gt;</v>
      </c>
      <c r="E339">
        <f>176*tbEquipe[[#This Row],[Alocação]]</f>
        <v>0</v>
      </c>
      <c r="F339" s="34"/>
      <c r="G3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39" s="1"/>
    </row>
    <row r="340" spans="2:8" hidden="1" x14ac:dyDescent="0.25">
      <c r="B340" s="25" t="str">
        <f>IFERROR(VLOOKUP(tbEquipe[[#This Row],[Nome]],tbFOPAG[[Nome]:[Cargo]],2,0),"&lt;Selecionar Nome&gt;")</f>
        <v>&lt;Selecionar Nome&gt;</v>
      </c>
      <c r="E340">
        <f>176*tbEquipe[[#This Row],[Alocação]]</f>
        <v>0</v>
      </c>
      <c r="F340" s="34"/>
      <c r="G3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0" s="1"/>
    </row>
    <row r="341" spans="2:8" hidden="1" x14ac:dyDescent="0.25">
      <c r="B341" s="25" t="str">
        <f>IFERROR(VLOOKUP(tbEquipe[[#This Row],[Nome]],tbFOPAG[[Nome]:[Cargo]],2,0),"&lt;Selecionar Nome&gt;")</f>
        <v>&lt;Selecionar Nome&gt;</v>
      </c>
      <c r="E341">
        <f>176*tbEquipe[[#This Row],[Alocação]]</f>
        <v>0</v>
      </c>
      <c r="F341" s="34"/>
      <c r="G3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1" s="1"/>
    </row>
    <row r="342" spans="2:8" hidden="1" x14ac:dyDescent="0.25">
      <c r="B342" s="25" t="str">
        <f>IFERROR(VLOOKUP(tbEquipe[[#This Row],[Nome]],tbFOPAG[[Nome]:[Cargo]],2,0),"&lt;Selecionar Nome&gt;")</f>
        <v>&lt;Selecionar Nome&gt;</v>
      </c>
      <c r="E342">
        <f>176*tbEquipe[[#This Row],[Alocação]]</f>
        <v>0</v>
      </c>
      <c r="F342" s="34"/>
      <c r="G3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2" s="1"/>
    </row>
    <row r="343" spans="2:8" hidden="1" x14ac:dyDescent="0.25">
      <c r="B343" s="25" t="str">
        <f>IFERROR(VLOOKUP(tbEquipe[[#This Row],[Nome]],tbFOPAG[[Nome]:[Cargo]],2,0),"&lt;Selecionar Nome&gt;")</f>
        <v>&lt;Selecionar Nome&gt;</v>
      </c>
      <c r="E343">
        <f>176*tbEquipe[[#This Row],[Alocação]]</f>
        <v>0</v>
      </c>
      <c r="F343" s="34"/>
      <c r="G3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3" s="1"/>
    </row>
    <row r="344" spans="2:8" hidden="1" x14ac:dyDescent="0.25">
      <c r="B344" s="25" t="str">
        <f>IFERROR(VLOOKUP(tbEquipe[[#This Row],[Nome]],tbFOPAG[[Nome]:[Cargo]],2,0),"&lt;Selecionar Nome&gt;")</f>
        <v>&lt;Selecionar Nome&gt;</v>
      </c>
      <c r="E344">
        <f>176*tbEquipe[[#This Row],[Alocação]]</f>
        <v>0</v>
      </c>
      <c r="F344" s="34"/>
      <c r="G3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4" s="1"/>
    </row>
    <row r="345" spans="2:8" hidden="1" x14ac:dyDescent="0.25">
      <c r="B345" s="25" t="str">
        <f>IFERROR(VLOOKUP(tbEquipe[[#This Row],[Nome]],tbFOPAG[[Nome]:[Cargo]],2,0),"&lt;Selecionar Nome&gt;")</f>
        <v>&lt;Selecionar Nome&gt;</v>
      </c>
      <c r="E345">
        <f>176*tbEquipe[[#This Row],[Alocação]]</f>
        <v>0</v>
      </c>
      <c r="F345" s="34"/>
      <c r="G3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5" s="1"/>
    </row>
    <row r="346" spans="2:8" hidden="1" x14ac:dyDescent="0.25">
      <c r="B346" s="25" t="str">
        <f>IFERROR(VLOOKUP(tbEquipe[[#This Row],[Nome]],tbFOPAG[[Nome]:[Cargo]],2,0),"&lt;Selecionar Nome&gt;")</f>
        <v>&lt;Selecionar Nome&gt;</v>
      </c>
      <c r="E346">
        <f>176*tbEquipe[[#This Row],[Alocação]]</f>
        <v>0</v>
      </c>
      <c r="F346" s="34"/>
      <c r="G3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6" s="1"/>
    </row>
    <row r="347" spans="2:8" hidden="1" x14ac:dyDescent="0.25">
      <c r="B347" s="25" t="str">
        <f>IFERROR(VLOOKUP(tbEquipe[[#This Row],[Nome]],tbFOPAG[[Nome]:[Cargo]],2,0),"&lt;Selecionar Nome&gt;")</f>
        <v>&lt;Selecionar Nome&gt;</v>
      </c>
      <c r="E347">
        <f>176*tbEquipe[[#This Row],[Alocação]]</f>
        <v>0</v>
      </c>
      <c r="F347" s="34"/>
      <c r="G3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7" s="1"/>
    </row>
    <row r="348" spans="2:8" hidden="1" x14ac:dyDescent="0.25">
      <c r="B348" s="25" t="str">
        <f>IFERROR(VLOOKUP(tbEquipe[[#This Row],[Nome]],tbFOPAG[[Nome]:[Cargo]],2,0),"&lt;Selecionar Nome&gt;")</f>
        <v>&lt;Selecionar Nome&gt;</v>
      </c>
      <c r="E348">
        <f>176*tbEquipe[[#This Row],[Alocação]]</f>
        <v>0</v>
      </c>
      <c r="F348" s="34"/>
      <c r="G3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8" s="1"/>
    </row>
    <row r="349" spans="2:8" hidden="1" x14ac:dyDescent="0.25">
      <c r="B349" s="25" t="str">
        <f>IFERROR(VLOOKUP(tbEquipe[[#This Row],[Nome]],tbFOPAG[[Nome]:[Cargo]],2,0),"&lt;Selecionar Nome&gt;")</f>
        <v>&lt;Selecionar Nome&gt;</v>
      </c>
      <c r="E349">
        <f>176*tbEquipe[[#This Row],[Alocação]]</f>
        <v>0</v>
      </c>
      <c r="F349" s="34"/>
      <c r="G3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49" s="1"/>
    </row>
    <row r="350" spans="2:8" hidden="1" x14ac:dyDescent="0.25">
      <c r="B350" s="25" t="str">
        <f>IFERROR(VLOOKUP(tbEquipe[[#This Row],[Nome]],tbFOPAG[[Nome]:[Cargo]],2,0),"&lt;Selecionar Nome&gt;")</f>
        <v>&lt;Selecionar Nome&gt;</v>
      </c>
      <c r="E350">
        <f>176*tbEquipe[[#This Row],[Alocação]]</f>
        <v>0</v>
      </c>
      <c r="F350" s="34"/>
      <c r="G3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0" s="1"/>
    </row>
    <row r="351" spans="2:8" hidden="1" x14ac:dyDescent="0.25">
      <c r="B351" s="25" t="str">
        <f>IFERROR(VLOOKUP(tbEquipe[[#This Row],[Nome]],tbFOPAG[[Nome]:[Cargo]],2,0),"&lt;Selecionar Nome&gt;")</f>
        <v>&lt;Selecionar Nome&gt;</v>
      </c>
      <c r="E351">
        <f>176*tbEquipe[[#This Row],[Alocação]]</f>
        <v>0</v>
      </c>
      <c r="F351" s="34"/>
      <c r="G3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1" s="1"/>
    </row>
    <row r="352" spans="2:8" hidden="1" x14ac:dyDescent="0.25">
      <c r="B352" s="25" t="str">
        <f>IFERROR(VLOOKUP(tbEquipe[[#This Row],[Nome]],tbFOPAG[[Nome]:[Cargo]],2,0),"&lt;Selecionar Nome&gt;")</f>
        <v>&lt;Selecionar Nome&gt;</v>
      </c>
      <c r="E352">
        <f>176*tbEquipe[[#This Row],[Alocação]]</f>
        <v>0</v>
      </c>
      <c r="F352" s="34"/>
      <c r="G3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2" s="1"/>
    </row>
    <row r="353" spans="2:8" hidden="1" x14ac:dyDescent="0.25">
      <c r="B353" s="25" t="str">
        <f>IFERROR(VLOOKUP(tbEquipe[[#This Row],[Nome]],tbFOPAG[[Nome]:[Cargo]],2,0),"&lt;Selecionar Nome&gt;")</f>
        <v>&lt;Selecionar Nome&gt;</v>
      </c>
      <c r="E353">
        <f>176*tbEquipe[[#This Row],[Alocação]]</f>
        <v>0</v>
      </c>
      <c r="F353" s="34"/>
      <c r="G3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3" s="1"/>
    </row>
    <row r="354" spans="2:8" hidden="1" x14ac:dyDescent="0.25">
      <c r="B354" s="25" t="str">
        <f>IFERROR(VLOOKUP(tbEquipe[[#This Row],[Nome]],tbFOPAG[[Nome]:[Cargo]],2,0),"&lt;Selecionar Nome&gt;")</f>
        <v>&lt;Selecionar Nome&gt;</v>
      </c>
      <c r="E354">
        <f>176*tbEquipe[[#This Row],[Alocação]]</f>
        <v>0</v>
      </c>
      <c r="F354" s="34"/>
      <c r="G3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4" s="1"/>
    </row>
    <row r="355" spans="2:8" hidden="1" x14ac:dyDescent="0.25">
      <c r="B355" s="25" t="str">
        <f>IFERROR(VLOOKUP(tbEquipe[[#This Row],[Nome]],tbFOPAG[[Nome]:[Cargo]],2,0),"&lt;Selecionar Nome&gt;")</f>
        <v>&lt;Selecionar Nome&gt;</v>
      </c>
      <c r="E355">
        <f>176*tbEquipe[[#This Row],[Alocação]]</f>
        <v>0</v>
      </c>
      <c r="F355" s="34"/>
      <c r="G3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5" s="1"/>
    </row>
    <row r="356" spans="2:8" hidden="1" x14ac:dyDescent="0.25">
      <c r="B356" s="25" t="str">
        <f>IFERROR(VLOOKUP(tbEquipe[[#This Row],[Nome]],tbFOPAG[[Nome]:[Cargo]],2,0),"&lt;Selecionar Nome&gt;")</f>
        <v>&lt;Selecionar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6" s="1"/>
    </row>
    <row r="357" spans="2:8" hidden="1" x14ac:dyDescent="0.25">
      <c r="B357" s="25" t="str">
        <f>IFERROR(VLOOKUP(tbEquipe[[#This Row],[Nome]],tbFOPAG[[Nome]:[Cargo]],2,0),"&lt;Selecionar Nome&gt;")</f>
        <v>&lt;Selecionar Nome&gt;</v>
      </c>
      <c r="E357">
        <f>176*tbEquipe[[#This Row],[Alocação]]</f>
        <v>0</v>
      </c>
      <c r="F357" s="34"/>
      <c r="G3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7" s="1"/>
    </row>
    <row r="358" spans="2:8" hidden="1" x14ac:dyDescent="0.25">
      <c r="B358" s="25" t="str">
        <f>IFERROR(VLOOKUP(tbEquipe[[#This Row],[Nome]],tbFOPAG[[Nome]:[Cargo]],2,0),"&lt;Selecionar Nome&gt;")</f>
        <v>&lt;Selecionar Nome&gt;</v>
      </c>
      <c r="E358">
        <f>176*tbEquipe[[#This Row],[Alocação]]</f>
        <v>0</v>
      </c>
      <c r="F358" s="34"/>
      <c r="G3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8" s="1"/>
    </row>
    <row r="359" spans="2:8" hidden="1" x14ac:dyDescent="0.25">
      <c r="B359" s="25" t="str">
        <f>IFERROR(VLOOKUP(tbEquipe[[#This Row],[Nome]],tbFOPAG[[Nome]:[Cargo]],2,0),"&lt;Selecionar Nome&gt;")</f>
        <v>&lt;Selecionar Nome&gt;</v>
      </c>
      <c r="E359">
        <f>176*tbEquipe[[#This Row],[Alocação]]</f>
        <v>0</v>
      </c>
      <c r="F359" s="34"/>
      <c r="G3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59" s="1"/>
    </row>
    <row r="360" spans="2:8" hidden="1" x14ac:dyDescent="0.25">
      <c r="B360" s="25" t="str">
        <f>IFERROR(VLOOKUP(tbEquipe[[#This Row],[Nome]],tbFOPAG[[Nome]:[Cargo]],2,0),"&lt;Selecionar Nome&gt;")</f>
        <v>&lt;Selecionar Nome&gt;</v>
      </c>
      <c r="E360">
        <f>176*tbEquipe[[#This Row],[Alocação]]</f>
        <v>0</v>
      </c>
      <c r="F360" s="34"/>
      <c r="G3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0" s="1"/>
    </row>
    <row r="361" spans="2:8" hidden="1" x14ac:dyDescent="0.25">
      <c r="B361" s="25" t="str">
        <f>IFERROR(VLOOKUP(tbEquipe[[#This Row],[Nome]],tbFOPAG[[Nome]:[Cargo]],2,0),"&lt;Selecionar Nome&gt;")</f>
        <v>&lt;Selecionar Nome&gt;</v>
      </c>
      <c r="E361">
        <f>176*tbEquipe[[#This Row],[Alocação]]</f>
        <v>0</v>
      </c>
      <c r="F361" s="34"/>
      <c r="G3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1" s="1"/>
    </row>
    <row r="362" spans="2:8" hidden="1" x14ac:dyDescent="0.25">
      <c r="B362" s="25" t="str">
        <f>IFERROR(VLOOKUP(tbEquipe[[#This Row],[Nome]],tbFOPAG[[Nome]:[Cargo]],2,0),"&lt;Selecionar Nome&gt;")</f>
        <v>&lt;Selecionar Nome&gt;</v>
      </c>
      <c r="E362">
        <f>176*tbEquipe[[#This Row],[Alocação]]</f>
        <v>0</v>
      </c>
      <c r="F362" s="34"/>
      <c r="G3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2" s="1"/>
    </row>
    <row r="363" spans="2:8" hidden="1" x14ac:dyDescent="0.25">
      <c r="B363" s="25" t="str">
        <f>IFERROR(VLOOKUP(tbEquipe[[#This Row],[Nome]],tbFOPAG[[Nome]:[Cargo]],2,0),"&lt;Selecionar Nome&gt;")</f>
        <v>&lt;Selecionar Nome&gt;</v>
      </c>
      <c r="E363">
        <f>176*tbEquipe[[#This Row],[Alocação]]</f>
        <v>0</v>
      </c>
      <c r="F363" s="34"/>
      <c r="G3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3" s="1"/>
    </row>
    <row r="364" spans="2:8" hidden="1" x14ac:dyDescent="0.25">
      <c r="B364" s="25" t="str">
        <f>IFERROR(VLOOKUP(tbEquipe[[#This Row],[Nome]],tbFOPAG[[Nome]:[Cargo]],2,0),"&lt;Selecionar Nome&gt;")</f>
        <v>&lt;Selecionar Nome&gt;</v>
      </c>
      <c r="E364">
        <f>176*tbEquipe[[#This Row],[Alocação]]</f>
        <v>0</v>
      </c>
      <c r="F364" s="34"/>
      <c r="G3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4" s="1"/>
    </row>
    <row r="365" spans="2:8" hidden="1" x14ac:dyDescent="0.25">
      <c r="B365" s="25" t="str">
        <f>IFERROR(VLOOKUP(tbEquipe[[#This Row],[Nome]],tbFOPAG[[Nome]:[Cargo]],2,0),"&lt;Selecionar Nome&gt;")</f>
        <v>&lt;Selecionar Nome&gt;</v>
      </c>
      <c r="E365">
        <f>176*tbEquipe[[#This Row],[Alocação]]</f>
        <v>0</v>
      </c>
      <c r="F365" s="34"/>
      <c r="G3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5" s="1"/>
    </row>
    <row r="366" spans="2:8" hidden="1" x14ac:dyDescent="0.25">
      <c r="B366" s="25" t="str">
        <f>IFERROR(VLOOKUP(tbEquipe[[#This Row],[Nome]],tbFOPAG[[Nome]:[Cargo]],2,0),"&lt;Selecionar Nome&gt;")</f>
        <v>&lt;Selecionar Nome&gt;</v>
      </c>
      <c r="E366">
        <f>176*tbEquipe[[#This Row],[Alocação]]</f>
        <v>0</v>
      </c>
      <c r="F366" s="34"/>
      <c r="G3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6" s="1"/>
    </row>
    <row r="367" spans="2:8" hidden="1" x14ac:dyDescent="0.25">
      <c r="B367" s="25" t="str">
        <f>IFERROR(VLOOKUP(tbEquipe[[#This Row],[Nome]],tbFOPAG[[Nome]:[Cargo]],2,0),"&lt;Selecionar Nome&gt;")</f>
        <v>&lt;Selecionar Nome&gt;</v>
      </c>
      <c r="E367">
        <f>176*tbEquipe[[#This Row],[Alocação]]</f>
        <v>0</v>
      </c>
      <c r="F367" s="34"/>
      <c r="G3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7" s="1"/>
    </row>
    <row r="368" spans="2:8" hidden="1" x14ac:dyDescent="0.25">
      <c r="B368" s="25" t="str">
        <f>IFERROR(VLOOKUP(tbEquipe[[#This Row],[Nome]],tbFOPAG[[Nome]:[Cargo]],2,0),"&lt;Selecionar Nome&gt;")</f>
        <v>&lt;Selecionar Nome&gt;</v>
      </c>
      <c r="E368">
        <f>176*tbEquipe[[#This Row],[Alocação]]</f>
        <v>0</v>
      </c>
      <c r="F368" s="34"/>
      <c r="G3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8" s="1"/>
    </row>
    <row r="369" spans="2:8" hidden="1" x14ac:dyDescent="0.25">
      <c r="B369" s="25" t="str">
        <f>IFERROR(VLOOKUP(tbEquipe[[#This Row],[Nome]],tbFOPAG[[Nome]:[Cargo]],2,0),"&lt;Selecionar Nome&gt;")</f>
        <v>&lt;Selecionar Nome&gt;</v>
      </c>
      <c r="E369">
        <f>176*tbEquipe[[#This Row],[Alocação]]</f>
        <v>0</v>
      </c>
      <c r="F369" s="34"/>
      <c r="G3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69" s="1"/>
    </row>
    <row r="370" spans="2:8" hidden="1" x14ac:dyDescent="0.25">
      <c r="B370" s="25" t="str">
        <f>IFERROR(VLOOKUP(tbEquipe[[#This Row],[Nome]],tbFOPAG[[Nome]:[Cargo]],2,0),"&lt;Selecionar Nome&gt;")</f>
        <v>&lt;Selecionar Nome&gt;</v>
      </c>
      <c r="E370">
        <f>176*tbEquipe[[#This Row],[Alocação]]</f>
        <v>0</v>
      </c>
      <c r="F370" s="34"/>
      <c r="G3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0" s="1"/>
    </row>
    <row r="371" spans="2:8" hidden="1" x14ac:dyDescent="0.25">
      <c r="B371" s="25" t="str">
        <f>IFERROR(VLOOKUP(tbEquipe[[#This Row],[Nome]],tbFOPAG[[Nome]:[Cargo]],2,0),"&lt;Selecionar Nome&gt;")</f>
        <v>&lt;Selecionar Nome&gt;</v>
      </c>
      <c r="E371">
        <f>176*tbEquipe[[#This Row],[Alocação]]</f>
        <v>0</v>
      </c>
      <c r="F371" s="34"/>
      <c r="G3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1" s="1"/>
    </row>
    <row r="372" spans="2:8" hidden="1" x14ac:dyDescent="0.25">
      <c r="B372" s="25" t="str">
        <f>IFERROR(VLOOKUP(tbEquipe[[#This Row],[Nome]],tbFOPAG[[Nome]:[Cargo]],2,0),"&lt;Selecionar Nome&gt;")</f>
        <v>&lt;Selecionar Nome&gt;</v>
      </c>
      <c r="E372">
        <f>176*tbEquipe[[#This Row],[Alocação]]</f>
        <v>0</v>
      </c>
      <c r="F372" s="34"/>
      <c r="G3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2" s="1"/>
    </row>
    <row r="373" spans="2:8" hidden="1" x14ac:dyDescent="0.25">
      <c r="B373" s="25" t="str">
        <f>IFERROR(VLOOKUP(tbEquipe[[#This Row],[Nome]],tbFOPAG[[Nome]:[Cargo]],2,0),"&lt;Selecionar Nome&gt;")</f>
        <v>&lt;Selecionar Nome&gt;</v>
      </c>
      <c r="E373">
        <f>176*tbEquipe[[#This Row],[Alocação]]</f>
        <v>0</v>
      </c>
      <c r="F373" s="34"/>
      <c r="G3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3" s="1"/>
    </row>
    <row r="374" spans="2:8" hidden="1" x14ac:dyDescent="0.25">
      <c r="B374" s="25" t="str">
        <f>IFERROR(VLOOKUP(tbEquipe[[#This Row],[Nome]],tbFOPAG[[Nome]:[Cargo]],2,0),"&lt;Selecionar Nome&gt;")</f>
        <v>&lt;Selecionar Nome&gt;</v>
      </c>
      <c r="E374">
        <f>176*tbEquipe[[#This Row],[Alocação]]</f>
        <v>0</v>
      </c>
      <c r="F374" s="34"/>
      <c r="G3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4" s="1"/>
    </row>
    <row r="375" spans="2:8" hidden="1" x14ac:dyDescent="0.25">
      <c r="B375" s="25" t="str">
        <f>IFERROR(VLOOKUP(tbEquipe[[#This Row],[Nome]],tbFOPAG[[Nome]:[Cargo]],2,0),"&lt;Selecionar Nome&gt;")</f>
        <v>&lt;Selecionar Nome&gt;</v>
      </c>
      <c r="E375">
        <f>176*tbEquipe[[#This Row],[Alocação]]</f>
        <v>0</v>
      </c>
      <c r="F375" s="34"/>
      <c r="G3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5" s="1"/>
    </row>
    <row r="376" spans="2:8" hidden="1" x14ac:dyDescent="0.25">
      <c r="B376" s="25" t="str">
        <f>IFERROR(VLOOKUP(tbEquipe[[#This Row],[Nome]],tbFOPAG[[Nome]:[Cargo]],2,0),"&lt;Selecionar Nome&gt;")</f>
        <v>&lt;Selecionar Nome&gt;</v>
      </c>
      <c r="E376">
        <f>176*tbEquipe[[#This Row],[Alocação]]</f>
        <v>0</v>
      </c>
      <c r="F376" s="34"/>
      <c r="G3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6" s="1"/>
    </row>
    <row r="377" spans="2:8" hidden="1" x14ac:dyDescent="0.25">
      <c r="B377" s="25" t="str">
        <f>IFERROR(VLOOKUP(tbEquipe[[#This Row],[Nome]],tbFOPAG[[Nome]:[Cargo]],2,0),"&lt;Selecionar Nome&gt;")</f>
        <v>&lt;Selecionar Nome&gt;</v>
      </c>
      <c r="E377">
        <f>176*tbEquipe[[#This Row],[Alocação]]</f>
        <v>0</v>
      </c>
      <c r="F377" s="34"/>
      <c r="G3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7" s="1"/>
    </row>
    <row r="378" spans="2:8" hidden="1" x14ac:dyDescent="0.25">
      <c r="B378" s="25" t="str">
        <f>IFERROR(VLOOKUP(tbEquipe[[#This Row],[Nome]],tbFOPAG[[Nome]:[Cargo]],2,0),"&lt;Selecionar Nome&gt;")</f>
        <v>&lt;Selecionar Nome&gt;</v>
      </c>
      <c r="E378">
        <f>176*tbEquipe[[#This Row],[Alocação]]</f>
        <v>0</v>
      </c>
      <c r="F378" s="34"/>
      <c r="G3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8" s="1"/>
    </row>
    <row r="379" spans="2:8" hidden="1" x14ac:dyDescent="0.25">
      <c r="B379" s="25" t="str">
        <f>IFERROR(VLOOKUP(tbEquipe[[#This Row],[Nome]],tbFOPAG[[Nome]:[Cargo]],2,0),"&lt;Selecionar Nome&gt;")</f>
        <v>&lt;Selecionar Nome&gt;</v>
      </c>
      <c r="E379">
        <f>176*tbEquipe[[#This Row],[Alocação]]</f>
        <v>0</v>
      </c>
      <c r="F379" s="34"/>
      <c r="G3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79" s="1"/>
    </row>
    <row r="380" spans="2:8" hidden="1" x14ac:dyDescent="0.25">
      <c r="B380" s="25" t="str">
        <f>IFERROR(VLOOKUP(tbEquipe[[#This Row],[Nome]],tbFOPAG[[Nome]:[Cargo]],2,0),"&lt;Selecionar Nome&gt;")</f>
        <v>&lt;Selecionar Nome&gt;</v>
      </c>
      <c r="E380">
        <f>176*tbEquipe[[#This Row],[Alocação]]</f>
        <v>0</v>
      </c>
      <c r="F380" s="34"/>
      <c r="G3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0" s="1"/>
    </row>
    <row r="381" spans="2:8" hidden="1" x14ac:dyDescent="0.25">
      <c r="B381" s="25" t="str">
        <f>IFERROR(VLOOKUP(tbEquipe[[#This Row],[Nome]],tbFOPAG[[Nome]:[Cargo]],2,0),"&lt;Selecionar Nome&gt;")</f>
        <v>&lt;Selecionar Nome&gt;</v>
      </c>
      <c r="E381">
        <f>176*tbEquipe[[#This Row],[Alocação]]</f>
        <v>0</v>
      </c>
      <c r="F381" s="34"/>
      <c r="G3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1" s="1"/>
    </row>
    <row r="382" spans="2:8" hidden="1" x14ac:dyDescent="0.25">
      <c r="B382" s="25" t="str">
        <f>IFERROR(VLOOKUP(tbEquipe[[#This Row],[Nome]],tbFOPAG[[Nome]:[Cargo]],2,0),"&lt;Selecionar Nome&gt;")</f>
        <v>&lt;Selecionar Nome&gt;</v>
      </c>
      <c r="E382">
        <f>176*tbEquipe[[#This Row],[Alocação]]</f>
        <v>0</v>
      </c>
      <c r="F382" s="34"/>
      <c r="G3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2" s="1"/>
    </row>
    <row r="383" spans="2:8" hidden="1" x14ac:dyDescent="0.25">
      <c r="B383" s="25" t="str">
        <f>IFERROR(VLOOKUP(tbEquipe[[#This Row],[Nome]],tbFOPAG[[Nome]:[Cargo]],2,0),"&lt;Selecionar Nome&gt;")</f>
        <v>&lt;Selecionar Nome&gt;</v>
      </c>
      <c r="E383">
        <f>176*tbEquipe[[#This Row],[Alocação]]</f>
        <v>0</v>
      </c>
      <c r="F383" s="34"/>
      <c r="G3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3" s="1"/>
    </row>
    <row r="384" spans="2:8" hidden="1" x14ac:dyDescent="0.25">
      <c r="B384" s="25" t="str">
        <f>IFERROR(VLOOKUP(tbEquipe[[#This Row],[Nome]],tbFOPAG[[Nome]:[Cargo]],2,0),"&lt;Selecionar Nome&gt;")</f>
        <v>&lt;Selecionar Nome&gt;</v>
      </c>
      <c r="E384">
        <f>176*tbEquipe[[#This Row],[Alocação]]</f>
        <v>0</v>
      </c>
      <c r="F384" s="34"/>
      <c r="G3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4" s="1"/>
    </row>
    <row r="385" spans="2:8" hidden="1" x14ac:dyDescent="0.25">
      <c r="B385" s="25" t="str">
        <f>IFERROR(VLOOKUP(tbEquipe[[#This Row],[Nome]],tbFOPAG[[Nome]:[Cargo]],2,0),"&lt;Selecionar Nome&gt;")</f>
        <v>&lt;Selecionar Nome&gt;</v>
      </c>
      <c r="E385">
        <f>176*tbEquipe[[#This Row],[Alocação]]</f>
        <v>0</v>
      </c>
      <c r="F385" s="34"/>
      <c r="G3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5" s="1"/>
    </row>
    <row r="386" spans="2:8" hidden="1" x14ac:dyDescent="0.25">
      <c r="B386" s="25" t="str">
        <f>IFERROR(VLOOKUP(tbEquipe[[#This Row],[Nome]],tbFOPAG[[Nome]:[Cargo]],2,0),"&lt;Selecionar Nome&gt;")</f>
        <v>&lt;Selecionar Nome&gt;</v>
      </c>
      <c r="E386">
        <f>176*tbEquipe[[#This Row],[Alocação]]</f>
        <v>0</v>
      </c>
      <c r="F386" s="34"/>
      <c r="G3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6" s="1"/>
    </row>
    <row r="387" spans="2:8" hidden="1" x14ac:dyDescent="0.25">
      <c r="B387" s="25" t="str">
        <f>IFERROR(VLOOKUP(tbEquipe[[#This Row],[Nome]],tbFOPAG[[Nome]:[Cargo]],2,0),"&lt;Selecionar Nome&gt;")</f>
        <v>&lt;Selecionar Nome&gt;</v>
      </c>
      <c r="E387">
        <f>176*tbEquipe[[#This Row],[Alocação]]</f>
        <v>0</v>
      </c>
      <c r="F387" s="34"/>
      <c r="G3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7" s="1"/>
    </row>
    <row r="388" spans="2:8" hidden="1" x14ac:dyDescent="0.25">
      <c r="B388" s="25" t="str">
        <f>IFERROR(VLOOKUP(tbEquipe[[#This Row],[Nome]],tbFOPAG[[Nome]:[Cargo]],2,0),"&lt;Selecionar Nome&gt;")</f>
        <v>&lt;Selecionar Nome&gt;</v>
      </c>
      <c r="E388">
        <f>176*tbEquipe[[#This Row],[Alocação]]</f>
        <v>0</v>
      </c>
      <c r="F388" s="34"/>
      <c r="G3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8" s="1"/>
    </row>
    <row r="389" spans="2:8" hidden="1" x14ac:dyDescent="0.25">
      <c r="B389" s="25" t="str">
        <f>IFERROR(VLOOKUP(tbEquipe[[#This Row],[Nome]],tbFOPAG[[Nome]:[Cargo]],2,0),"&lt;Selecionar Nome&gt;")</f>
        <v>&lt;Selecionar Nome&gt;</v>
      </c>
      <c r="E389">
        <f>176*tbEquipe[[#This Row],[Alocação]]</f>
        <v>0</v>
      </c>
      <c r="F389" s="34"/>
      <c r="G3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89" s="1"/>
    </row>
    <row r="390" spans="2:8" hidden="1" x14ac:dyDescent="0.25">
      <c r="B390" s="25" t="str">
        <f>IFERROR(VLOOKUP(tbEquipe[[#This Row],[Nome]],tbFOPAG[[Nome]:[Cargo]],2,0),"&lt;Selecionar Nome&gt;")</f>
        <v>&lt;Selecionar Nome&gt;</v>
      </c>
      <c r="E390">
        <f>176*tbEquipe[[#This Row],[Alocação]]</f>
        <v>0</v>
      </c>
      <c r="F390" s="34"/>
      <c r="G3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0" s="1"/>
    </row>
    <row r="391" spans="2:8" hidden="1" x14ac:dyDescent="0.25">
      <c r="B391" s="25" t="str">
        <f>IFERROR(VLOOKUP(tbEquipe[[#This Row],[Nome]],tbFOPAG[[Nome]:[Cargo]],2,0),"&lt;Selecionar Nome&gt;")</f>
        <v>&lt;Selecionar Nome&gt;</v>
      </c>
      <c r="E391">
        <f>176*tbEquipe[[#This Row],[Alocação]]</f>
        <v>0</v>
      </c>
      <c r="F391" s="34"/>
      <c r="G3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1" s="1"/>
    </row>
    <row r="392" spans="2:8" hidden="1" x14ac:dyDescent="0.25">
      <c r="B392" s="25" t="str">
        <f>IFERROR(VLOOKUP(tbEquipe[[#This Row],[Nome]],tbFOPAG[[Nome]:[Cargo]],2,0),"&lt;Selecionar Nome&gt;")</f>
        <v>&lt;Selecionar Nome&gt;</v>
      </c>
      <c r="E392">
        <f>176*tbEquipe[[#This Row],[Alocação]]</f>
        <v>0</v>
      </c>
      <c r="F392" s="34"/>
      <c r="G3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2" s="1"/>
    </row>
    <row r="393" spans="2:8" hidden="1" x14ac:dyDescent="0.25">
      <c r="B393" s="25" t="str">
        <f>IFERROR(VLOOKUP(tbEquipe[[#This Row],[Nome]],tbFOPAG[[Nome]:[Cargo]],2,0),"&lt;Selecionar Nome&gt;")</f>
        <v>&lt;Selecionar Nome&gt;</v>
      </c>
      <c r="E393">
        <f>176*tbEquipe[[#This Row],[Alocação]]</f>
        <v>0</v>
      </c>
      <c r="F393" s="34"/>
      <c r="G3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3" s="1"/>
    </row>
    <row r="394" spans="2:8" hidden="1" x14ac:dyDescent="0.25">
      <c r="B394" s="25" t="str">
        <f>IFERROR(VLOOKUP(tbEquipe[[#This Row],[Nome]],tbFOPAG[[Nome]:[Cargo]],2,0),"&lt;Selecionar Nome&gt;")</f>
        <v>&lt;Selecionar Nome&gt;</v>
      </c>
      <c r="E394">
        <f>176*tbEquipe[[#This Row],[Alocação]]</f>
        <v>0</v>
      </c>
      <c r="F394" s="34"/>
      <c r="G3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4" s="1"/>
    </row>
    <row r="395" spans="2:8" hidden="1" x14ac:dyDescent="0.25">
      <c r="B395" s="25" t="str">
        <f>IFERROR(VLOOKUP(tbEquipe[[#This Row],[Nome]],tbFOPAG[[Nome]:[Cargo]],2,0),"&lt;Selecionar Nome&gt;")</f>
        <v>&lt;Selecionar Nome&gt;</v>
      </c>
      <c r="E395">
        <f>176*tbEquipe[[#This Row],[Alocação]]</f>
        <v>0</v>
      </c>
      <c r="F395" s="34"/>
      <c r="G3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5" s="1"/>
    </row>
    <row r="396" spans="2:8" hidden="1" x14ac:dyDescent="0.25">
      <c r="B396" s="25" t="str">
        <f>IFERROR(VLOOKUP(tbEquipe[[#This Row],[Nome]],tbFOPAG[[Nome]:[Cargo]],2,0),"&lt;Selecionar Nome&gt;")</f>
        <v>&lt;Selecionar Nome&gt;</v>
      </c>
      <c r="E396">
        <f>176*tbEquipe[[#This Row],[Alocação]]</f>
        <v>0</v>
      </c>
      <c r="F396" s="34"/>
      <c r="G3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6" s="1"/>
    </row>
    <row r="397" spans="2:8" hidden="1" x14ac:dyDescent="0.25">
      <c r="B397" s="25" t="str">
        <f>IFERROR(VLOOKUP(tbEquipe[[#This Row],[Nome]],tbFOPAG[[Nome]:[Cargo]],2,0),"&lt;Selecionar Nome&gt;")</f>
        <v>&lt;Selecionar Nome&gt;</v>
      </c>
      <c r="E397">
        <f>176*tbEquipe[[#This Row],[Alocação]]</f>
        <v>0</v>
      </c>
      <c r="F397" s="34"/>
      <c r="G3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7" s="1"/>
    </row>
    <row r="398" spans="2:8" hidden="1" x14ac:dyDescent="0.25">
      <c r="B398" s="25" t="str">
        <f>IFERROR(VLOOKUP(tbEquipe[[#This Row],[Nome]],tbFOPAG[[Nome]:[Cargo]],2,0),"&lt;Selecionar Nome&gt;")</f>
        <v>&lt;Selecionar Nome&gt;</v>
      </c>
      <c r="E398">
        <f>176*tbEquipe[[#This Row],[Alocação]]</f>
        <v>0</v>
      </c>
      <c r="F398" s="34"/>
      <c r="G3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8" s="1"/>
    </row>
    <row r="399" spans="2:8" hidden="1" x14ac:dyDescent="0.25">
      <c r="B399" s="25" t="str">
        <f>IFERROR(VLOOKUP(tbEquipe[[#This Row],[Nome]],tbFOPAG[[Nome]:[Cargo]],2,0),"&lt;Selecionar Nome&gt;")</f>
        <v>&lt;Selecionar Nome&gt;</v>
      </c>
      <c r="E399">
        <f>176*tbEquipe[[#This Row],[Alocação]]</f>
        <v>0</v>
      </c>
      <c r="F399" s="34"/>
      <c r="G3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399" s="1"/>
    </row>
    <row r="400" spans="2:8" hidden="1" x14ac:dyDescent="0.25">
      <c r="B400" s="25" t="str">
        <f>IFERROR(VLOOKUP(tbEquipe[[#This Row],[Nome]],tbFOPAG[[Nome]:[Cargo]],2,0),"&lt;Selecionar Nome&gt;")</f>
        <v>&lt;Selecionar Nome&gt;</v>
      </c>
      <c r="E400">
        <f>176*tbEquipe[[#This Row],[Alocação]]</f>
        <v>0</v>
      </c>
      <c r="F400" s="34"/>
      <c r="G4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0" s="1"/>
    </row>
    <row r="401" spans="2:8" hidden="1" x14ac:dyDescent="0.25">
      <c r="B401" s="25" t="str">
        <f>IFERROR(VLOOKUP(tbEquipe[[#This Row],[Nome]],tbFOPAG[[Nome]:[Cargo]],2,0),"&lt;Selecionar Nome&gt;")</f>
        <v>&lt;Selecionar Nome&gt;</v>
      </c>
      <c r="E401">
        <f>176*tbEquipe[[#This Row],[Alocação]]</f>
        <v>0</v>
      </c>
      <c r="F401" s="34"/>
      <c r="G4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1" s="1"/>
    </row>
    <row r="402" spans="2:8" hidden="1" x14ac:dyDescent="0.25">
      <c r="B402" s="25" t="str">
        <f>IFERROR(VLOOKUP(tbEquipe[[#This Row],[Nome]],tbFOPAG[[Nome]:[Cargo]],2,0),"&lt;Selecionar Nome&gt;")</f>
        <v>&lt;Selecionar Nome&gt;</v>
      </c>
      <c r="E402">
        <f>176*tbEquipe[[#This Row],[Alocação]]</f>
        <v>0</v>
      </c>
      <c r="F402" s="34"/>
      <c r="G4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2" s="1"/>
    </row>
    <row r="403" spans="2:8" hidden="1" x14ac:dyDescent="0.25">
      <c r="B403" s="25" t="str">
        <f>IFERROR(VLOOKUP(tbEquipe[[#This Row],[Nome]],tbFOPAG[[Nome]:[Cargo]],2,0),"&lt;Selecionar Nome&gt;")</f>
        <v>&lt;Selecionar Nome&gt;</v>
      </c>
      <c r="E403">
        <f>176*tbEquipe[[#This Row],[Alocação]]</f>
        <v>0</v>
      </c>
      <c r="F403" s="34"/>
      <c r="G4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3" s="1"/>
    </row>
    <row r="404" spans="2:8" hidden="1" x14ac:dyDescent="0.25">
      <c r="B404" s="25" t="str">
        <f>IFERROR(VLOOKUP(tbEquipe[[#This Row],[Nome]],tbFOPAG[[Nome]:[Cargo]],2,0),"&lt;Selecionar Nome&gt;")</f>
        <v>&lt;Selecionar Nome&gt;</v>
      </c>
      <c r="E404">
        <f>176*tbEquipe[[#This Row],[Alocação]]</f>
        <v>0</v>
      </c>
      <c r="F404" s="34"/>
      <c r="G4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4" s="1"/>
    </row>
    <row r="405" spans="2:8" hidden="1" x14ac:dyDescent="0.25">
      <c r="B405" s="25" t="str">
        <f>IFERROR(VLOOKUP(tbEquipe[[#This Row],[Nome]],tbFOPAG[[Nome]:[Cargo]],2,0),"&lt;Selecionar Nome&gt;")</f>
        <v>&lt;Selecionar Nome&gt;</v>
      </c>
      <c r="E405">
        <f>176*tbEquipe[[#This Row],[Alocação]]</f>
        <v>0</v>
      </c>
      <c r="F405" s="34"/>
      <c r="G4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5" s="1"/>
    </row>
    <row r="406" spans="2:8" hidden="1" x14ac:dyDescent="0.25">
      <c r="B406" s="25" t="str">
        <f>IFERROR(VLOOKUP(tbEquipe[[#This Row],[Nome]],tbFOPAG[[Nome]:[Cargo]],2,0),"&lt;Selecionar Nome&gt;")</f>
        <v>&lt;Selecionar Nome&gt;</v>
      </c>
      <c r="E406">
        <f>176*tbEquipe[[#This Row],[Alocação]]</f>
        <v>0</v>
      </c>
      <c r="F406" s="34"/>
      <c r="G4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6" s="1"/>
    </row>
    <row r="407" spans="2:8" hidden="1" x14ac:dyDescent="0.25">
      <c r="B407" s="25" t="str">
        <f>IFERROR(VLOOKUP(tbEquipe[[#This Row],[Nome]],tbFOPAG[[Nome]:[Cargo]],2,0),"&lt;Selecionar Nome&gt;")</f>
        <v>&lt;Selecionar Nome&gt;</v>
      </c>
      <c r="E407">
        <f>176*tbEquipe[[#This Row],[Alocação]]</f>
        <v>0</v>
      </c>
      <c r="F407" s="34"/>
      <c r="G4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7" s="1"/>
    </row>
    <row r="408" spans="2:8" hidden="1" x14ac:dyDescent="0.25">
      <c r="B408" s="25" t="str">
        <f>IFERROR(VLOOKUP(tbEquipe[[#This Row],[Nome]],tbFOPAG[[Nome]:[Cargo]],2,0),"&lt;Selecionar Nome&gt;")</f>
        <v>&lt;Selecionar Nome&gt;</v>
      </c>
      <c r="E408">
        <f>176*tbEquipe[[#This Row],[Alocação]]</f>
        <v>0</v>
      </c>
      <c r="F408" s="34"/>
      <c r="G4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8" s="1"/>
    </row>
    <row r="409" spans="2:8" hidden="1" x14ac:dyDescent="0.25">
      <c r="B409" s="25" t="str">
        <f>IFERROR(VLOOKUP(tbEquipe[[#This Row],[Nome]],tbFOPAG[[Nome]:[Cargo]],2,0),"&lt;Selecionar Nome&gt;")</f>
        <v>&lt;Selecionar Nome&gt;</v>
      </c>
      <c r="E409">
        <f>176*tbEquipe[[#This Row],[Alocação]]</f>
        <v>0</v>
      </c>
      <c r="F409" s="34"/>
      <c r="G4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09" s="1"/>
    </row>
    <row r="410" spans="2:8" hidden="1" x14ac:dyDescent="0.25">
      <c r="B410" s="25" t="str">
        <f>IFERROR(VLOOKUP(tbEquipe[[#This Row],[Nome]],tbFOPAG[[Nome]:[Cargo]],2,0),"&lt;Selecionar Nome&gt;")</f>
        <v>&lt;Selecionar Nome&gt;</v>
      </c>
      <c r="E410">
        <f>176*tbEquipe[[#This Row],[Alocação]]</f>
        <v>0</v>
      </c>
      <c r="F410" s="34"/>
      <c r="G4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0" s="1"/>
    </row>
    <row r="411" spans="2:8" hidden="1" x14ac:dyDescent="0.25">
      <c r="B411" s="25" t="str">
        <f>IFERROR(VLOOKUP(tbEquipe[[#This Row],[Nome]],tbFOPAG[[Nome]:[Cargo]],2,0),"&lt;Selecionar Nome&gt;")</f>
        <v>&lt;Selecionar Nome&gt;</v>
      </c>
      <c r="E411">
        <f>176*tbEquipe[[#This Row],[Alocação]]</f>
        <v>0</v>
      </c>
      <c r="F411" s="34"/>
      <c r="G4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1" s="1"/>
    </row>
    <row r="412" spans="2:8" hidden="1" x14ac:dyDescent="0.25">
      <c r="B412" s="25" t="str">
        <f>IFERROR(VLOOKUP(tbEquipe[[#This Row],[Nome]],tbFOPAG[[Nome]:[Cargo]],2,0),"&lt;Selecionar Nome&gt;")</f>
        <v>&lt;Selecionar Nome&gt;</v>
      </c>
      <c r="E412">
        <f>176*tbEquipe[[#This Row],[Alocação]]</f>
        <v>0</v>
      </c>
      <c r="F412" s="34"/>
      <c r="G4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2" s="1"/>
    </row>
    <row r="413" spans="2:8" hidden="1" x14ac:dyDescent="0.25">
      <c r="B413" s="25" t="str">
        <f>IFERROR(VLOOKUP(tbEquipe[[#This Row],[Nome]],tbFOPAG[[Nome]:[Cargo]],2,0),"&lt;Selecionar Nome&gt;")</f>
        <v>&lt;Selecionar Nome&gt;</v>
      </c>
      <c r="E413">
        <f>176*tbEquipe[[#This Row],[Alocação]]</f>
        <v>0</v>
      </c>
      <c r="F413" s="34"/>
      <c r="G4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3" s="1"/>
    </row>
    <row r="414" spans="2:8" hidden="1" x14ac:dyDescent="0.25">
      <c r="B414" s="25" t="str">
        <f>IFERROR(VLOOKUP(tbEquipe[[#This Row],[Nome]],tbFOPAG[[Nome]:[Cargo]],2,0),"&lt;Selecionar Nome&gt;")</f>
        <v>&lt;Selecionar Nome&gt;</v>
      </c>
      <c r="E414">
        <f>176*tbEquipe[[#This Row],[Alocação]]</f>
        <v>0</v>
      </c>
      <c r="F414" s="34"/>
      <c r="G4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4" s="1"/>
    </row>
    <row r="415" spans="2:8" hidden="1" x14ac:dyDescent="0.25">
      <c r="B415" s="25" t="str">
        <f>IFERROR(VLOOKUP(tbEquipe[[#This Row],[Nome]],tbFOPAG[[Nome]:[Cargo]],2,0),"&lt;Selecionar Nome&gt;")</f>
        <v>&lt;Selecionar Nome&gt;</v>
      </c>
      <c r="E415">
        <f>176*tbEquipe[[#This Row],[Alocação]]</f>
        <v>0</v>
      </c>
      <c r="F415" s="34"/>
      <c r="G4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5" s="1"/>
    </row>
    <row r="416" spans="2:8" hidden="1" x14ac:dyDescent="0.25">
      <c r="B416" s="25" t="str">
        <f>IFERROR(VLOOKUP(tbEquipe[[#This Row],[Nome]],tbFOPAG[[Nome]:[Cargo]],2,0),"&lt;Selecionar Nome&gt;")</f>
        <v>&lt;Selecionar Nome&gt;</v>
      </c>
      <c r="E416">
        <f>176*tbEquipe[[#This Row],[Alocação]]</f>
        <v>0</v>
      </c>
      <c r="F416" s="34"/>
      <c r="G4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6" s="1"/>
    </row>
    <row r="417" spans="2:8" hidden="1" x14ac:dyDescent="0.25">
      <c r="B417" s="25" t="str">
        <f>IFERROR(VLOOKUP(tbEquipe[[#This Row],[Nome]],tbFOPAG[[Nome]:[Cargo]],2,0),"&lt;Selecionar Nome&gt;")</f>
        <v>&lt;Selecionar Nome&gt;</v>
      </c>
      <c r="E417">
        <f>176*tbEquipe[[#This Row],[Alocação]]</f>
        <v>0</v>
      </c>
      <c r="F417" s="34"/>
      <c r="G4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7" s="1"/>
    </row>
    <row r="418" spans="2:8" hidden="1" x14ac:dyDescent="0.25">
      <c r="B418" s="25" t="str">
        <f>IFERROR(VLOOKUP(tbEquipe[[#This Row],[Nome]],tbFOPAG[[Nome]:[Cargo]],2,0),"&lt;Selecionar Nome&gt;")</f>
        <v>&lt;Selecionar Nome&gt;</v>
      </c>
      <c r="E418">
        <f>176*tbEquipe[[#This Row],[Alocação]]</f>
        <v>0</v>
      </c>
      <c r="F418" s="34"/>
      <c r="G4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8" s="1"/>
    </row>
    <row r="419" spans="2:8" hidden="1" x14ac:dyDescent="0.25">
      <c r="B419" s="25" t="str">
        <f>IFERROR(VLOOKUP(tbEquipe[[#This Row],[Nome]],tbFOPAG[[Nome]:[Cargo]],2,0),"&lt;Selecionar Nome&gt;")</f>
        <v>&lt;Selecionar Nome&gt;</v>
      </c>
      <c r="E419">
        <f>176*tbEquipe[[#This Row],[Alocação]]</f>
        <v>0</v>
      </c>
      <c r="F419" s="34"/>
      <c r="G4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19" s="1"/>
    </row>
    <row r="420" spans="2:8" hidden="1" x14ac:dyDescent="0.25">
      <c r="B420" s="25" t="str">
        <f>IFERROR(VLOOKUP(tbEquipe[[#This Row],[Nome]],tbFOPAG[[Nome]:[Cargo]],2,0),"&lt;Selecionar Nome&gt;")</f>
        <v>&lt;Selecionar Nome&gt;</v>
      </c>
      <c r="E420">
        <f>176*tbEquipe[[#This Row],[Alocação]]</f>
        <v>0</v>
      </c>
      <c r="F420" s="34"/>
      <c r="G4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0" s="1"/>
    </row>
    <row r="421" spans="2:8" hidden="1" x14ac:dyDescent="0.25">
      <c r="B421" s="25" t="str">
        <f>IFERROR(VLOOKUP(tbEquipe[[#This Row],[Nome]],tbFOPAG[[Nome]:[Cargo]],2,0),"&lt;Selecionar Nome&gt;")</f>
        <v>&lt;Selecionar Nome&gt;</v>
      </c>
      <c r="E421">
        <f>176*tbEquipe[[#This Row],[Alocação]]</f>
        <v>0</v>
      </c>
      <c r="F421" s="34"/>
      <c r="G4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1" s="1"/>
    </row>
    <row r="422" spans="2:8" hidden="1" x14ac:dyDescent="0.25">
      <c r="B422" s="25" t="str">
        <f>IFERROR(VLOOKUP(tbEquipe[[#This Row],[Nome]],tbFOPAG[[Nome]:[Cargo]],2,0),"&lt;Selecionar Nome&gt;")</f>
        <v>&lt;Selecionar Nome&gt;</v>
      </c>
      <c r="E422">
        <f>176*tbEquipe[[#This Row],[Alocação]]</f>
        <v>0</v>
      </c>
      <c r="F422" s="34"/>
      <c r="G4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2" s="1"/>
    </row>
    <row r="423" spans="2:8" hidden="1" x14ac:dyDescent="0.25">
      <c r="B423" s="25" t="str">
        <f>IFERROR(VLOOKUP(tbEquipe[[#This Row],[Nome]],tbFOPAG[[Nome]:[Cargo]],2,0),"&lt;Selecionar Nome&gt;")</f>
        <v>&lt;Selecionar Nome&gt;</v>
      </c>
      <c r="E423">
        <f>176*tbEquipe[[#This Row],[Alocação]]</f>
        <v>0</v>
      </c>
      <c r="F423" s="34"/>
      <c r="G4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3" s="1"/>
    </row>
    <row r="424" spans="2:8" hidden="1" x14ac:dyDescent="0.25">
      <c r="B424" s="25" t="str">
        <f>IFERROR(VLOOKUP(tbEquipe[[#This Row],[Nome]],tbFOPAG[[Nome]:[Cargo]],2,0),"&lt;Selecionar Nome&gt;")</f>
        <v>&lt;Selecionar Nome&gt;</v>
      </c>
      <c r="E424">
        <f>176*tbEquipe[[#This Row],[Alocação]]</f>
        <v>0</v>
      </c>
      <c r="F424" s="34"/>
      <c r="G4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4" s="1"/>
    </row>
    <row r="425" spans="2:8" hidden="1" x14ac:dyDescent="0.25">
      <c r="B425" s="25" t="str">
        <f>IFERROR(VLOOKUP(tbEquipe[[#This Row],[Nome]],tbFOPAG[[Nome]:[Cargo]],2,0),"&lt;Selecionar Nome&gt;")</f>
        <v>&lt;Selecionar Nome&gt;</v>
      </c>
      <c r="E425">
        <f>176*tbEquipe[[#This Row],[Alocação]]</f>
        <v>0</v>
      </c>
      <c r="F425" s="34"/>
      <c r="G4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5" s="1"/>
    </row>
    <row r="426" spans="2:8" hidden="1" x14ac:dyDescent="0.25">
      <c r="B426" s="25" t="str">
        <f>IFERROR(VLOOKUP(tbEquipe[[#This Row],[Nome]],tbFOPAG[[Nome]:[Cargo]],2,0),"&lt;Selecionar Nome&gt;")</f>
        <v>&lt;Selecionar Nome&gt;</v>
      </c>
      <c r="E426">
        <f>176*tbEquipe[[#This Row],[Alocação]]</f>
        <v>0</v>
      </c>
      <c r="F426" s="34"/>
      <c r="G4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6" s="1"/>
    </row>
    <row r="427" spans="2:8" hidden="1" x14ac:dyDescent="0.25">
      <c r="B427" s="25" t="str">
        <f>IFERROR(VLOOKUP(tbEquipe[[#This Row],[Nome]],tbFOPAG[[Nome]:[Cargo]],2,0),"&lt;Selecionar Nome&gt;")</f>
        <v>&lt;Selecionar Nome&gt;</v>
      </c>
      <c r="E427">
        <f>176*tbEquipe[[#This Row],[Alocação]]</f>
        <v>0</v>
      </c>
      <c r="F427" s="34"/>
      <c r="G4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7" s="1"/>
    </row>
    <row r="428" spans="2:8" hidden="1" x14ac:dyDescent="0.25">
      <c r="B428" s="25" t="str">
        <f>IFERROR(VLOOKUP(tbEquipe[[#This Row],[Nome]],tbFOPAG[[Nome]:[Cargo]],2,0),"&lt;Selecionar Nome&gt;")</f>
        <v>&lt;Selecionar Nome&gt;</v>
      </c>
      <c r="E428">
        <f>176*tbEquipe[[#This Row],[Alocação]]</f>
        <v>0</v>
      </c>
      <c r="F428" s="34"/>
      <c r="G4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8" s="1"/>
    </row>
    <row r="429" spans="2:8" hidden="1" x14ac:dyDescent="0.25">
      <c r="B429" s="25" t="str">
        <f>IFERROR(VLOOKUP(tbEquipe[[#This Row],[Nome]],tbFOPAG[[Nome]:[Cargo]],2,0),"&lt;Selecionar Nome&gt;")</f>
        <v>&lt;Selecionar Nome&gt;</v>
      </c>
      <c r="E429">
        <f>176*tbEquipe[[#This Row],[Alocação]]</f>
        <v>0</v>
      </c>
      <c r="F429" s="34"/>
      <c r="G4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29" s="1"/>
    </row>
    <row r="430" spans="2:8" hidden="1" x14ac:dyDescent="0.25">
      <c r="B430" s="25" t="str">
        <f>IFERROR(VLOOKUP(tbEquipe[[#This Row],[Nome]],tbFOPAG[[Nome]:[Cargo]],2,0),"&lt;Selecionar Nome&gt;")</f>
        <v>&lt;Selecionar Nome&gt;</v>
      </c>
      <c r="E430">
        <f>176*tbEquipe[[#This Row],[Alocação]]</f>
        <v>0</v>
      </c>
      <c r="F430" s="34"/>
      <c r="G4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0" s="1"/>
    </row>
    <row r="431" spans="2:8" hidden="1" x14ac:dyDescent="0.25">
      <c r="B431" s="25" t="str">
        <f>IFERROR(VLOOKUP(tbEquipe[[#This Row],[Nome]],tbFOPAG[[Nome]:[Cargo]],2,0),"&lt;Selecionar Nome&gt;")</f>
        <v>&lt;Selecionar Nome&gt;</v>
      </c>
      <c r="E431">
        <f>176*tbEquipe[[#This Row],[Alocação]]</f>
        <v>0</v>
      </c>
      <c r="F431" s="34"/>
      <c r="G4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1" s="1"/>
    </row>
    <row r="432" spans="2:8" hidden="1" x14ac:dyDescent="0.25">
      <c r="B432" s="25" t="str">
        <f>IFERROR(VLOOKUP(tbEquipe[[#This Row],[Nome]],tbFOPAG[[Nome]:[Cargo]],2,0),"&lt;Selecionar Nome&gt;")</f>
        <v>&lt;Selecionar Nome&gt;</v>
      </c>
      <c r="E432">
        <f>176*tbEquipe[[#This Row],[Alocação]]</f>
        <v>0</v>
      </c>
      <c r="F432" s="34"/>
      <c r="G4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2" s="1"/>
    </row>
    <row r="433" spans="2:8" hidden="1" x14ac:dyDescent="0.25">
      <c r="B433" s="25" t="str">
        <f>IFERROR(VLOOKUP(tbEquipe[[#This Row],[Nome]],tbFOPAG[[Nome]:[Cargo]],2,0),"&lt;Selecionar Nome&gt;")</f>
        <v>&lt;Selecionar Nome&gt;</v>
      </c>
      <c r="E433">
        <f>176*tbEquipe[[#This Row],[Alocação]]</f>
        <v>0</v>
      </c>
      <c r="F433" s="34"/>
      <c r="G4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3" s="1"/>
    </row>
    <row r="434" spans="2:8" hidden="1" x14ac:dyDescent="0.25">
      <c r="B434" s="25" t="str">
        <f>IFERROR(VLOOKUP(tbEquipe[[#This Row],[Nome]],tbFOPAG[[Nome]:[Cargo]],2,0),"&lt;Selecionar Nome&gt;")</f>
        <v>&lt;Selecionar Nome&gt;</v>
      </c>
      <c r="E434">
        <f>176*tbEquipe[[#This Row],[Alocação]]</f>
        <v>0</v>
      </c>
      <c r="F434" s="34"/>
      <c r="G4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4" s="1"/>
    </row>
    <row r="435" spans="2:8" hidden="1" x14ac:dyDescent="0.25">
      <c r="B435" s="25" t="str">
        <f>IFERROR(VLOOKUP(tbEquipe[[#This Row],[Nome]],tbFOPAG[[Nome]:[Cargo]],2,0),"&lt;Selecionar Nome&gt;")</f>
        <v>&lt;Selecionar Nome&gt;</v>
      </c>
      <c r="E435">
        <f>176*tbEquipe[[#This Row],[Alocação]]</f>
        <v>0</v>
      </c>
      <c r="F435" s="34"/>
      <c r="G4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5" s="1"/>
    </row>
    <row r="436" spans="2:8" hidden="1" x14ac:dyDescent="0.25">
      <c r="B436" s="25" t="str">
        <f>IFERROR(VLOOKUP(tbEquipe[[#This Row],[Nome]],tbFOPAG[[Nome]:[Cargo]],2,0),"&lt;Selecionar Nome&gt;")</f>
        <v>&lt;Selecionar Nome&gt;</v>
      </c>
      <c r="E436">
        <f>176*tbEquipe[[#This Row],[Alocação]]</f>
        <v>0</v>
      </c>
      <c r="F436" s="34"/>
      <c r="G4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6" s="1"/>
    </row>
    <row r="437" spans="2:8" hidden="1" x14ac:dyDescent="0.25">
      <c r="B437" s="25" t="str">
        <f>IFERROR(VLOOKUP(tbEquipe[[#This Row],[Nome]],tbFOPAG[[Nome]:[Cargo]],2,0),"&lt;Selecionar Nome&gt;")</f>
        <v>&lt;Selecionar Nome&gt;</v>
      </c>
      <c r="E437">
        <f>176*tbEquipe[[#This Row],[Alocação]]</f>
        <v>0</v>
      </c>
      <c r="F437" s="34"/>
      <c r="G4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7" s="1"/>
    </row>
    <row r="438" spans="2:8" hidden="1" x14ac:dyDescent="0.25">
      <c r="B438" s="25" t="str">
        <f>IFERROR(VLOOKUP(tbEquipe[[#This Row],[Nome]],tbFOPAG[[Nome]:[Cargo]],2,0),"&lt;Selecionar Nome&gt;")</f>
        <v>&lt;Selecionar Nome&gt;</v>
      </c>
      <c r="E438">
        <f>176*tbEquipe[[#This Row],[Alocação]]</f>
        <v>0</v>
      </c>
      <c r="F438" s="34"/>
      <c r="G4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8" s="1"/>
    </row>
    <row r="439" spans="2:8" hidden="1" x14ac:dyDescent="0.25">
      <c r="B439" s="25" t="str">
        <f>IFERROR(VLOOKUP(tbEquipe[[#This Row],[Nome]],tbFOPAG[[Nome]:[Cargo]],2,0),"&lt;Selecionar Nome&gt;")</f>
        <v>&lt;Selecionar Nome&gt;</v>
      </c>
      <c r="E439">
        <f>176*tbEquipe[[#This Row],[Alocação]]</f>
        <v>0</v>
      </c>
      <c r="F439" s="34"/>
      <c r="G4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39" s="1"/>
    </row>
    <row r="440" spans="2:8" hidden="1" x14ac:dyDescent="0.25">
      <c r="B440" s="25" t="str">
        <f>IFERROR(VLOOKUP(tbEquipe[[#This Row],[Nome]],tbFOPAG[[Nome]:[Cargo]],2,0),"&lt;Selecionar Nome&gt;")</f>
        <v>&lt;Selecionar Nome&gt;</v>
      </c>
      <c r="E440">
        <f>176*tbEquipe[[#This Row],[Alocação]]</f>
        <v>0</v>
      </c>
      <c r="F440" s="34"/>
      <c r="G4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0" s="1"/>
    </row>
    <row r="441" spans="2:8" hidden="1" x14ac:dyDescent="0.25">
      <c r="B441" s="25" t="str">
        <f>IFERROR(VLOOKUP(tbEquipe[[#This Row],[Nome]],tbFOPAG[[Nome]:[Cargo]],2,0),"&lt;Selecionar Nome&gt;")</f>
        <v>&lt;Selecionar Nome&gt;</v>
      </c>
      <c r="E441">
        <f>176*tbEquipe[[#This Row],[Alocação]]</f>
        <v>0</v>
      </c>
      <c r="F441" s="34"/>
      <c r="G4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1" s="1"/>
    </row>
    <row r="442" spans="2:8" hidden="1" x14ac:dyDescent="0.25">
      <c r="B442" s="25" t="str">
        <f>IFERROR(VLOOKUP(tbEquipe[[#This Row],[Nome]],tbFOPAG[[Nome]:[Cargo]],2,0),"&lt;Selecionar Nome&gt;")</f>
        <v>&lt;Selecionar Nome&gt;</v>
      </c>
      <c r="E442">
        <f>176*tbEquipe[[#This Row],[Alocação]]</f>
        <v>0</v>
      </c>
      <c r="F442" s="34"/>
      <c r="G4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2" s="1"/>
    </row>
    <row r="443" spans="2:8" hidden="1" x14ac:dyDescent="0.25">
      <c r="B443" s="25" t="str">
        <f>IFERROR(VLOOKUP(tbEquipe[[#This Row],[Nome]],tbFOPAG[[Nome]:[Cargo]],2,0),"&lt;Selecionar Nome&gt;")</f>
        <v>&lt;Selecionar Nome&gt;</v>
      </c>
      <c r="E443">
        <f>176*tbEquipe[[#This Row],[Alocação]]</f>
        <v>0</v>
      </c>
      <c r="F443" s="34"/>
      <c r="G4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3" s="1"/>
    </row>
    <row r="444" spans="2:8" hidden="1" x14ac:dyDescent="0.25">
      <c r="B444" s="25" t="str">
        <f>IFERROR(VLOOKUP(tbEquipe[[#This Row],[Nome]],tbFOPAG[[Nome]:[Cargo]],2,0),"&lt;Selecionar Nome&gt;")</f>
        <v>&lt;Selecionar Nome&gt;</v>
      </c>
      <c r="E444">
        <f>176*tbEquipe[[#This Row],[Alocação]]</f>
        <v>0</v>
      </c>
      <c r="F444" s="34"/>
      <c r="G4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4" s="1"/>
    </row>
    <row r="445" spans="2:8" hidden="1" x14ac:dyDescent="0.25">
      <c r="B445" s="25" t="str">
        <f>IFERROR(VLOOKUP(tbEquipe[[#This Row],[Nome]],tbFOPAG[[Nome]:[Cargo]],2,0),"&lt;Selecionar Nome&gt;")</f>
        <v>&lt;Selecionar Nome&gt;</v>
      </c>
      <c r="E445">
        <f>176*tbEquipe[[#This Row],[Alocação]]</f>
        <v>0</v>
      </c>
      <c r="F445" s="34"/>
      <c r="G4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5" s="1"/>
    </row>
    <row r="446" spans="2:8" hidden="1" x14ac:dyDescent="0.25">
      <c r="B446" s="25" t="str">
        <f>IFERROR(VLOOKUP(tbEquipe[[#This Row],[Nome]],tbFOPAG[[Nome]:[Cargo]],2,0),"&lt;Selecionar Nome&gt;")</f>
        <v>&lt;Selecionar Nome&gt;</v>
      </c>
      <c r="E446">
        <f>176*tbEquipe[[#This Row],[Alocação]]</f>
        <v>0</v>
      </c>
      <c r="F446" s="34"/>
      <c r="G4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6" s="1"/>
    </row>
    <row r="447" spans="2:8" hidden="1" x14ac:dyDescent="0.25">
      <c r="B447" s="25" t="str">
        <f>IFERROR(VLOOKUP(tbEquipe[[#This Row],[Nome]],tbFOPAG[[Nome]:[Cargo]],2,0),"&lt;Selecionar Nome&gt;")</f>
        <v>&lt;Selecionar Nome&gt;</v>
      </c>
      <c r="E447">
        <f>176*tbEquipe[[#This Row],[Alocação]]</f>
        <v>0</v>
      </c>
      <c r="F447" s="34"/>
      <c r="G4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7" s="1"/>
    </row>
    <row r="448" spans="2:8" hidden="1" x14ac:dyDescent="0.25">
      <c r="B448" s="25" t="str">
        <f>IFERROR(VLOOKUP(tbEquipe[[#This Row],[Nome]],tbFOPAG[[Nome]:[Cargo]],2,0),"&lt;Selecionar Nome&gt;")</f>
        <v>&lt;Selecionar Nome&gt;</v>
      </c>
      <c r="E448">
        <f>176*tbEquipe[[#This Row],[Alocação]]</f>
        <v>0</v>
      </c>
      <c r="F448" s="34"/>
      <c r="G4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8" s="1"/>
    </row>
    <row r="449" spans="2:8" hidden="1" x14ac:dyDescent="0.25">
      <c r="B449" s="25" t="str">
        <f>IFERROR(VLOOKUP(tbEquipe[[#This Row],[Nome]],tbFOPAG[[Nome]:[Cargo]],2,0),"&lt;Selecionar Nome&gt;")</f>
        <v>&lt;Selecionar Nome&gt;</v>
      </c>
      <c r="E449">
        <f>176*tbEquipe[[#This Row],[Alocação]]</f>
        <v>0</v>
      </c>
      <c r="F449" s="34"/>
      <c r="G4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49" s="1"/>
    </row>
    <row r="450" spans="2:8" hidden="1" x14ac:dyDescent="0.25">
      <c r="B450" s="25" t="str">
        <f>IFERROR(VLOOKUP(tbEquipe[[#This Row],[Nome]],tbFOPAG[[Nome]:[Cargo]],2,0),"&lt;Selecionar Nome&gt;")</f>
        <v>&lt;Selecionar Nome&gt;</v>
      </c>
      <c r="E450">
        <f>176*tbEquipe[[#This Row],[Alocação]]</f>
        <v>0</v>
      </c>
      <c r="F450" s="34"/>
      <c r="G4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0" s="1"/>
    </row>
    <row r="451" spans="2:8" hidden="1" x14ac:dyDescent="0.25">
      <c r="B451" s="25" t="str">
        <f>IFERROR(VLOOKUP(tbEquipe[[#This Row],[Nome]],tbFOPAG[[Nome]:[Cargo]],2,0),"&lt;Selecionar Nome&gt;")</f>
        <v>&lt;Selecionar Nome&gt;</v>
      </c>
      <c r="E451">
        <f>176*tbEquipe[[#This Row],[Alocação]]</f>
        <v>0</v>
      </c>
      <c r="F451" s="34"/>
      <c r="G4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1" s="1"/>
    </row>
    <row r="452" spans="2:8" hidden="1" x14ac:dyDescent="0.25">
      <c r="B452" s="25" t="str">
        <f>IFERROR(VLOOKUP(tbEquipe[[#This Row],[Nome]],tbFOPAG[[Nome]:[Cargo]],2,0),"&lt;Selecionar Nome&gt;")</f>
        <v>&lt;Selecionar Nome&gt;</v>
      </c>
      <c r="E452">
        <f>176*tbEquipe[[#This Row],[Alocação]]</f>
        <v>0</v>
      </c>
      <c r="F452" s="34"/>
      <c r="G4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2" s="1"/>
    </row>
    <row r="453" spans="2:8" hidden="1" x14ac:dyDescent="0.25">
      <c r="B453" s="25" t="str">
        <f>IFERROR(VLOOKUP(tbEquipe[[#This Row],[Nome]],tbFOPAG[[Nome]:[Cargo]],2,0),"&lt;Selecionar Nome&gt;")</f>
        <v>&lt;Selecionar Nome&gt;</v>
      </c>
      <c r="E453">
        <f>176*tbEquipe[[#This Row],[Alocação]]</f>
        <v>0</v>
      </c>
      <c r="F453" s="34"/>
      <c r="G4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3" s="1"/>
    </row>
    <row r="454" spans="2:8" hidden="1" x14ac:dyDescent="0.25">
      <c r="B454" s="25" t="str">
        <f>IFERROR(VLOOKUP(tbEquipe[[#This Row],[Nome]],tbFOPAG[[Nome]:[Cargo]],2,0),"&lt;Selecionar Nome&gt;")</f>
        <v>&lt;Selecionar Nome&gt;</v>
      </c>
      <c r="E454">
        <f>176*tbEquipe[[#This Row],[Alocação]]</f>
        <v>0</v>
      </c>
      <c r="F454" s="34"/>
      <c r="G4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4" s="1"/>
    </row>
    <row r="455" spans="2:8" hidden="1" x14ac:dyDescent="0.25">
      <c r="B455" s="25" t="str">
        <f>IFERROR(VLOOKUP(tbEquipe[[#This Row],[Nome]],tbFOPAG[[Nome]:[Cargo]],2,0),"&lt;Selecionar Nome&gt;")</f>
        <v>&lt;Selecionar Nome&gt;</v>
      </c>
      <c r="E455">
        <f>176*tbEquipe[[#This Row],[Alocação]]</f>
        <v>0</v>
      </c>
      <c r="F455" s="34"/>
      <c r="G4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5" s="1"/>
    </row>
    <row r="456" spans="2:8" hidden="1" x14ac:dyDescent="0.25">
      <c r="B456" s="25" t="str">
        <f>IFERROR(VLOOKUP(tbEquipe[[#This Row],[Nome]],tbFOPAG[[Nome]:[Cargo]],2,0),"&lt;Selecionar Nome&gt;")</f>
        <v>&lt;Selecionar Nome&gt;</v>
      </c>
      <c r="E456">
        <f>176*tbEquipe[[#This Row],[Alocação]]</f>
        <v>0</v>
      </c>
      <c r="F456" s="34"/>
      <c r="G4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6" s="1"/>
    </row>
    <row r="457" spans="2:8" hidden="1" x14ac:dyDescent="0.25">
      <c r="B457" s="25" t="str">
        <f>IFERROR(VLOOKUP(tbEquipe[[#This Row],[Nome]],tbFOPAG[[Nome]:[Cargo]],2,0),"&lt;Selecionar Nome&gt;")</f>
        <v>&lt;Selecionar Nome&gt;</v>
      </c>
      <c r="E457">
        <f>176*tbEquipe[[#This Row],[Alocação]]</f>
        <v>0</v>
      </c>
      <c r="F457" s="34"/>
      <c r="G4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7" s="1"/>
    </row>
    <row r="458" spans="2:8" hidden="1" x14ac:dyDescent="0.25">
      <c r="B458" s="25" t="str">
        <f>IFERROR(VLOOKUP(tbEquipe[[#This Row],[Nome]],tbFOPAG[[Nome]:[Cargo]],2,0),"&lt;Selecionar Nome&gt;")</f>
        <v>&lt;Selecionar Nome&gt;</v>
      </c>
      <c r="E458">
        <f>176*tbEquipe[[#This Row],[Alocação]]</f>
        <v>0</v>
      </c>
      <c r="F458" s="34"/>
      <c r="G4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8" s="1"/>
    </row>
    <row r="459" spans="2:8" hidden="1" x14ac:dyDescent="0.25">
      <c r="B459" s="25" t="str">
        <f>IFERROR(VLOOKUP(tbEquipe[[#This Row],[Nome]],tbFOPAG[[Nome]:[Cargo]],2,0),"&lt;Selecionar Nome&gt;")</f>
        <v>&lt;Selecionar Nome&gt;</v>
      </c>
      <c r="E459">
        <f>176*tbEquipe[[#This Row],[Alocação]]</f>
        <v>0</v>
      </c>
      <c r="F459" s="34"/>
      <c r="G4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59" s="1"/>
    </row>
    <row r="460" spans="2:8" hidden="1" x14ac:dyDescent="0.25">
      <c r="B460" s="25" t="str">
        <f>IFERROR(VLOOKUP(tbEquipe[[#This Row],[Nome]],tbFOPAG[[Nome]:[Cargo]],2,0),"&lt;Selecionar Nome&gt;")</f>
        <v>&lt;Selecionar Nome&gt;</v>
      </c>
      <c r="E460">
        <f>176*tbEquipe[[#This Row],[Alocação]]</f>
        <v>0</v>
      </c>
      <c r="F460" s="34"/>
      <c r="G4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0" s="1"/>
    </row>
    <row r="461" spans="2:8" hidden="1" x14ac:dyDescent="0.25">
      <c r="B461" s="25" t="str">
        <f>IFERROR(VLOOKUP(tbEquipe[[#This Row],[Nome]],tbFOPAG[[Nome]:[Cargo]],2,0),"&lt;Selecionar Nome&gt;")</f>
        <v>&lt;Selecionar Nome&gt;</v>
      </c>
      <c r="E461">
        <f>176*tbEquipe[[#This Row],[Alocação]]</f>
        <v>0</v>
      </c>
      <c r="F461" s="34"/>
      <c r="G4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1" s="1"/>
    </row>
    <row r="462" spans="2:8" hidden="1" x14ac:dyDescent="0.25">
      <c r="B462" s="25" t="str">
        <f>IFERROR(VLOOKUP(tbEquipe[[#This Row],[Nome]],tbFOPAG[[Nome]:[Cargo]],2,0),"&lt;Selecionar Nome&gt;")</f>
        <v>&lt;Selecionar Nome&gt;</v>
      </c>
      <c r="E462">
        <f>176*tbEquipe[[#This Row],[Alocação]]</f>
        <v>0</v>
      </c>
      <c r="F462" s="34"/>
      <c r="G4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2" s="1"/>
    </row>
    <row r="463" spans="2:8" hidden="1" x14ac:dyDescent="0.25">
      <c r="B463" s="25" t="str">
        <f>IFERROR(VLOOKUP(tbEquipe[[#This Row],[Nome]],tbFOPAG[[Nome]:[Cargo]],2,0),"&lt;Selecionar Nome&gt;")</f>
        <v>&lt;Selecionar Nome&gt;</v>
      </c>
      <c r="E463">
        <f>176*tbEquipe[[#This Row],[Alocação]]</f>
        <v>0</v>
      </c>
      <c r="F463" s="34"/>
      <c r="G4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3" s="1"/>
    </row>
    <row r="464" spans="2:8" hidden="1" x14ac:dyDescent="0.25">
      <c r="B464" s="25" t="str">
        <f>IFERROR(VLOOKUP(tbEquipe[[#This Row],[Nome]],tbFOPAG[[Nome]:[Cargo]],2,0),"&lt;Selecionar Nome&gt;")</f>
        <v>&lt;Selecionar Nome&gt;</v>
      </c>
      <c r="E464">
        <f>176*tbEquipe[[#This Row],[Alocação]]</f>
        <v>0</v>
      </c>
      <c r="F464" s="34"/>
      <c r="G4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4" s="1"/>
    </row>
    <row r="465" spans="2:8" hidden="1" x14ac:dyDescent="0.25">
      <c r="B465" s="25" t="str">
        <f>IFERROR(VLOOKUP(tbEquipe[[#This Row],[Nome]],tbFOPAG[[Nome]:[Cargo]],2,0),"&lt;Selecionar Nome&gt;")</f>
        <v>&lt;Selecionar Nome&gt;</v>
      </c>
      <c r="E465">
        <f>176*tbEquipe[[#This Row],[Alocação]]</f>
        <v>0</v>
      </c>
      <c r="F465" s="34"/>
      <c r="G4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5" s="1"/>
    </row>
    <row r="466" spans="2:8" hidden="1" x14ac:dyDescent="0.25">
      <c r="B466" s="25" t="str">
        <f>IFERROR(VLOOKUP(tbEquipe[[#This Row],[Nome]],tbFOPAG[[Nome]:[Cargo]],2,0),"&lt;Selecionar Nome&gt;")</f>
        <v>&lt;Selecionar Nome&gt;</v>
      </c>
      <c r="E466">
        <f>176*tbEquipe[[#This Row],[Alocação]]</f>
        <v>0</v>
      </c>
      <c r="F466" s="34"/>
      <c r="G4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6" s="1"/>
    </row>
    <row r="467" spans="2:8" hidden="1" x14ac:dyDescent="0.25">
      <c r="B467" s="25" t="str">
        <f>IFERROR(VLOOKUP(tbEquipe[[#This Row],[Nome]],tbFOPAG[[Nome]:[Cargo]],2,0),"&lt;Selecionar Nome&gt;")</f>
        <v>&lt;Selecionar Nome&gt;</v>
      </c>
      <c r="E467">
        <f>176*tbEquipe[[#This Row],[Alocação]]</f>
        <v>0</v>
      </c>
      <c r="F467" s="34"/>
      <c r="G4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7" s="1"/>
    </row>
    <row r="468" spans="2:8" hidden="1" x14ac:dyDescent="0.25">
      <c r="B468" s="25" t="str">
        <f>IFERROR(VLOOKUP(tbEquipe[[#This Row],[Nome]],tbFOPAG[[Nome]:[Cargo]],2,0),"&lt;Selecionar Nome&gt;")</f>
        <v>&lt;Selecionar Nome&gt;</v>
      </c>
      <c r="E468">
        <f>176*tbEquipe[[#This Row],[Alocação]]</f>
        <v>0</v>
      </c>
      <c r="F468" s="34"/>
      <c r="G4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8" s="1"/>
    </row>
    <row r="469" spans="2:8" hidden="1" x14ac:dyDescent="0.25">
      <c r="B469" s="25" t="str">
        <f>IFERROR(VLOOKUP(tbEquipe[[#This Row],[Nome]],tbFOPAG[[Nome]:[Cargo]],2,0),"&lt;Selecionar Nome&gt;")</f>
        <v>&lt;Selecionar Nome&gt;</v>
      </c>
      <c r="E469">
        <f>176*tbEquipe[[#This Row],[Alocação]]</f>
        <v>0</v>
      </c>
      <c r="F469" s="34"/>
      <c r="G4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69" s="1"/>
    </row>
    <row r="470" spans="2:8" hidden="1" x14ac:dyDescent="0.25">
      <c r="B470" s="25" t="str">
        <f>IFERROR(VLOOKUP(tbEquipe[[#This Row],[Nome]],tbFOPAG[[Nome]:[Cargo]],2,0),"&lt;Selecionar Nome&gt;")</f>
        <v>&lt;Selecionar Nome&gt;</v>
      </c>
      <c r="E470">
        <f>176*tbEquipe[[#This Row],[Alocação]]</f>
        <v>0</v>
      </c>
      <c r="F470" s="34"/>
      <c r="G4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0" s="1"/>
    </row>
    <row r="471" spans="2:8" hidden="1" x14ac:dyDescent="0.25">
      <c r="B471" s="25" t="str">
        <f>IFERROR(VLOOKUP(tbEquipe[[#This Row],[Nome]],tbFOPAG[[Nome]:[Cargo]],2,0),"&lt;Selecionar Nome&gt;")</f>
        <v>&lt;Selecionar Nome&gt;</v>
      </c>
      <c r="E471">
        <f>176*tbEquipe[[#This Row],[Alocação]]</f>
        <v>0</v>
      </c>
      <c r="F471" s="34"/>
      <c r="G4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1" s="1"/>
    </row>
    <row r="472" spans="2:8" hidden="1" x14ac:dyDescent="0.25">
      <c r="B472" s="25" t="str">
        <f>IFERROR(VLOOKUP(tbEquipe[[#This Row],[Nome]],tbFOPAG[[Nome]:[Cargo]],2,0),"&lt;Selecionar Nome&gt;")</f>
        <v>&lt;Selecionar Nome&gt;</v>
      </c>
      <c r="E472">
        <f>176*tbEquipe[[#This Row],[Alocação]]</f>
        <v>0</v>
      </c>
      <c r="F472" s="34"/>
      <c r="G4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2" s="1"/>
    </row>
    <row r="473" spans="2:8" hidden="1" x14ac:dyDescent="0.25">
      <c r="B473" s="25" t="str">
        <f>IFERROR(VLOOKUP(tbEquipe[[#This Row],[Nome]],tbFOPAG[[Nome]:[Cargo]],2,0),"&lt;Selecionar Nome&gt;")</f>
        <v>&lt;Selecionar Nome&gt;</v>
      </c>
      <c r="E473">
        <f>176*tbEquipe[[#This Row],[Alocação]]</f>
        <v>0</v>
      </c>
      <c r="F473" s="34"/>
      <c r="G4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3" s="1"/>
    </row>
    <row r="474" spans="2:8" hidden="1" x14ac:dyDescent="0.25">
      <c r="B474" s="25" t="str">
        <f>IFERROR(VLOOKUP(tbEquipe[[#This Row],[Nome]],tbFOPAG[[Nome]:[Cargo]],2,0),"&lt;Selecionar Nome&gt;")</f>
        <v>&lt;Selecionar Nome&gt;</v>
      </c>
      <c r="E474">
        <f>176*tbEquipe[[#This Row],[Alocação]]</f>
        <v>0</v>
      </c>
      <c r="F474" s="34"/>
      <c r="G4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4" s="1"/>
    </row>
    <row r="475" spans="2:8" hidden="1" x14ac:dyDescent="0.25">
      <c r="B475" s="25" t="str">
        <f>IFERROR(VLOOKUP(tbEquipe[[#This Row],[Nome]],tbFOPAG[[Nome]:[Cargo]],2,0),"&lt;Selecionar Nome&gt;")</f>
        <v>&lt;Selecionar Nome&gt;</v>
      </c>
      <c r="E475">
        <f>176*tbEquipe[[#This Row],[Alocação]]</f>
        <v>0</v>
      </c>
      <c r="F475" s="34"/>
      <c r="G4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5" s="1"/>
    </row>
    <row r="476" spans="2:8" hidden="1" x14ac:dyDescent="0.25">
      <c r="B476" s="25" t="str">
        <f>IFERROR(VLOOKUP(tbEquipe[[#This Row],[Nome]],tbFOPAG[[Nome]:[Cargo]],2,0),"&lt;Selecionar Nome&gt;")</f>
        <v>&lt;Selecionar Nome&gt;</v>
      </c>
      <c r="E476">
        <f>176*tbEquipe[[#This Row],[Alocação]]</f>
        <v>0</v>
      </c>
      <c r="F476" s="34"/>
      <c r="G4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6" s="1"/>
    </row>
    <row r="477" spans="2:8" hidden="1" x14ac:dyDescent="0.25">
      <c r="B477" s="25" t="str">
        <f>IFERROR(VLOOKUP(tbEquipe[[#This Row],[Nome]],tbFOPAG[[Nome]:[Cargo]],2,0),"&lt;Selecionar Nome&gt;")</f>
        <v>&lt;Selecionar Nome&gt;</v>
      </c>
      <c r="E477">
        <f>176*tbEquipe[[#This Row],[Alocação]]</f>
        <v>0</v>
      </c>
      <c r="F477" s="34"/>
      <c r="G4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7" s="1"/>
    </row>
    <row r="478" spans="2:8" hidden="1" x14ac:dyDescent="0.25">
      <c r="B478" s="25" t="str">
        <f>IFERROR(VLOOKUP(tbEquipe[[#This Row],[Nome]],tbFOPAG[[Nome]:[Cargo]],2,0),"&lt;Selecionar Nome&gt;")</f>
        <v>&lt;Selecionar Nome&gt;</v>
      </c>
      <c r="E478">
        <f>176*tbEquipe[[#This Row],[Alocação]]</f>
        <v>0</v>
      </c>
      <c r="F478" s="34"/>
      <c r="G4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8" s="1"/>
    </row>
    <row r="479" spans="2:8" hidden="1" x14ac:dyDescent="0.25">
      <c r="B479" s="25" t="str">
        <f>IFERROR(VLOOKUP(tbEquipe[[#This Row],[Nome]],tbFOPAG[[Nome]:[Cargo]],2,0),"&lt;Selecionar Nome&gt;")</f>
        <v>&lt;Selecionar Nome&gt;</v>
      </c>
      <c r="E479">
        <f>176*tbEquipe[[#This Row],[Alocação]]</f>
        <v>0</v>
      </c>
      <c r="F479" s="34"/>
      <c r="G4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79" s="1"/>
    </row>
    <row r="480" spans="2:8" hidden="1" x14ac:dyDescent="0.25">
      <c r="B480" s="25" t="str">
        <f>IFERROR(VLOOKUP(tbEquipe[[#This Row],[Nome]],tbFOPAG[[Nome]:[Cargo]],2,0),"&lt;Selecionar Nome&gt;")</f>
        <v>&lt;Selecionar Nome&gt;</v>
      </c>
      <c r="E480">
        <f>176*tbEquipe[[#This Row],[Alocação]]</f>
        <v>0</v>
      </c>
      <c r="F480" s="34"/>
      <c r="G4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0" s="1"/>
    </row>
    <row r="481" spans="2:8" hidden="1" x14ac:dyDescent="0.25">
      <c r="B481" s="25" t="str">
        <f>IFERROR(VLOOKUP(tbEquipe[[#This Row],[Nome]],tbFOPAG[[Nome]:[Cargo]],2,0),"&lt;Selecionar Nome&gt;")</f>
        <v>&lt;Selecionar Nome&gt;</v>
      </c>
      <c r="E481">
        <f>176*tbEquipe[[#This Row],[Alocação]]</f>
        <v>0</v>
      </c>
      <c r="F481" s="34"/>
      <c r="G4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1" s="1"/>
    </row>
    <row r="482" spans="2:8" hidden="1" x14ac:dyDescent="0.25">
      <c r="B482" s="25" t="str">
        <f>IFERROR(VLOOKUP(tbEquipe[[#This Row],[Nome]],tbFOPAG[[Nome]:[Cargo]],2,0),"&lt;Selecionar Nome&gt;")</f>
        <v>&lt;Selecionar Nome&gt;</v>
      </c>
      <c r="E482">
        <f>176*tbEquipe[[#This Row],[Alocação]]</f>
        <v>0</v>
      </c>
      <c r="F482" s="34"/>
      <c r="G4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2" s="1"/>
    </row>
    <row r="483" spans="2:8" hidden="1" x14ac:dyDescent="0.25">
      <c r="B483" s="25" t="str">
        <f>IFERROR(VLOOKUP(tbEquipe[[#This Row],[Nome]],tbFOPAG[[Nome]:[Cargo]],2,0),"&lt;Selecionar Nome&gt;")</f>
        <v>&lt;Selecionar Nome&gt;</v>
      </c>
      <c r="E483">
        <f>176*tbEquipe[[#This Row],[Alocação]]</f>
        <v>0</v>
      </c>
      <c r="F483" s="34"/>
      <c r="G4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3" s="1"/>
    </row>
    <row r="484" spans="2:8" hidden="1" x14ac:dyDescent="0.25">
      <c r="B484" s="25" t="str">
        <f>IFERROR(VLOOKUP(tbEquipe[[#This Row],[Nome]],tbFOPAG[[Nome]:[Cargo]],2,0),"&lt;Selecionar Nome&gt;")</f>
        <v>&lt;Selecionar Nome&gt;</v>
      </c>
      <c r="E484">
        <f>176*tbEquipe[[#This Row],[Alocação]]</f>
        <v>0</v>
      </c>
      <c r="F484" s="34"/>
      <c r="G4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4" s="1"/>
    </row>
    <row r="485" spans="2:8" hidden="1" x14ac:dyDescent="0.25">
      <c r="B485" s="25" t="str">
        <f>IFERROR(VLOOKUP(tbEquipe[[#This Row],[Nome]],tbFOPAG[[Nome]:[Cargo]],2,0),"&lt;Selecionar Nome&gt;")</f>
        <v>&lt;Selecionar Nome&gt;</v>
      </c>
      <c r="E485">
        <f>176*tbEquipe[[#This Row],[Alocação]]</f>
        <v>0</v>
      </c>
      <c r="F485" s="34"/>
      <c r="G4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5" s="1"/>
    </row>
    <row r="486" spans="2:8" hidden="1" x14ac:dyDescent="0.25">
      <c r="B486" s="25" t="str">
        <f>IFERROR(VLOOKUP(tbEquipe[[#This Row],[Nome]],tbFOPAG[[Nome]:[Cargo]],2,0),"&lt;Selecionar Nome&gt;")</f>
        <v>&lt;Selecionar Nome&gt;</v>
      </c>
      <c r="E486">
        <f>176*tbEquipe[[#This Row],[Alocação]]</f>
        <v>0</v>
      </c>
      <c r="F486" s="34"/>
      <c r="G4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6" s="1"/>
    </row>
    <row r="487" spans="2:8" hidden="1" x14ac:dyDescent="0.25">
      <c r="B487" s="25" t="str">
        <f>IFERROR(VLOOKUP(tbEquipe[[#This Row],[Nome]],tbFOPAG[[Nome]:[Cargo]],2,0),"&lt;Selecionar Nome&gt;")</f>
        <v>&lt;Selecionar Nome&gt;</v>
      </c>
      <c r="E487">
        <f>176*tbEquipe[[#This Row],[Alocação]]</f>
        <v>0</v>
      </c>
      <c r="F487" s="34"/>
      <c r="G4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7" s="1"/>
    </row>
    <row r="488" spans="2:8" hidden="1" x14ac:dyDescent="0.25">
      <c r="B488" s="25" t="str">
        <f>IFERROR(VLOOKUP(tbEquipe[[#This Row],[Nome]],tbFOPAG[[Nome]:[Cargo]],2,0),"&lt;Selecionar Nome&gt;")</f>
        <v>&lt;Selecionar Nome&gt;</v>
      </c>
      <c r="E488">
        <f>176*tbEquipe[[#This Row],[Alocação]]</f>
        <v>0</v>
      </c>
      <c r="F488" s="34"/>
      <c r="G4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8" s="1"/>
    </row>
    <row r="489" spans="2:8" hidden="1" x14ac:dyDescent="0.25">
      <c r="B489" s="25" t="str">
        <f>IFERROR(VLOOKUP(tbEquipe[[#This Row],[Nome]],tbFOPAG[[Nome]:[Cargo]],2,0),"&lt;Selecionar Nome&gt;")</f>
        <v>&lt;Selecionar Nome&gt;</v>
      </c>
      <c r="E489">
        <f>176*tbEquipe[[#This Row],[Alocação]]</f>
        <v>0</v>
      </c>
      <c r="F489" s="34"/>
      <c r="G4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89" s="1"/>
    </row>
    <row r="490" spans="2:8" hidden="1" x14ac:dyDescent="0.25">
      <c r="B490" s="25" t="str">
        <f>IFERROR(VLOOKUP(tbEquipe[[#This Row],[Nome]],tbFOPAG[[Nome]:[Cargo]],2,0),"&lt;Selecionar Nome&gt;")</f>
        <v>&lt;Selecionar Nome&gt;</v>
      </c>
      <c r="E490">
        <f>176*tbEquipe[[#This Row],[Alocação]]</f>
        <v>0</v>
      </c>
      <c r="F490" s="34"/>
      <c r="G4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0" s="1"/>
    </row>
    <row r="491" spans="2:8" hidden="1" x14ac:dyDescent="0.25">
      <c r="B491" s="25" t="str">
        <f>IFERROR(VLOOKUP(tbEquipe[[#This Row],[Nome]],tbFOPAG[[Nome]:[Cargo]],2,0),"&lt;Selecionar Nome&gt;")</f>
        <v>&lt;Selecionar Nome&gt;</v>
      </c>
      <c r="E491">
        <f>176*tbEquipe[[#This Row],[Alocação]]</f>
        <v>0</v>
      </c>
      <c r="F491" s="34"/>
      <c r="G4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1" s="1"/>
    </row>
    <row r="492" spans="2:8" hidden="1" x14ac:dyDescent="0.25">
      <c r="B492" s="25" t="str">
        <f>IFERROR(VLOOKUP(tbEquipe[[#This Row],[Nome]],tbFOPAG[[Nome]:[Cargo]],2,0),"&lt;Selecionar Nome&gt;")</f>
        <v>&lt;Selecionar Nome&gt;</v>
      </c>
      <c r="E492">
        <f>176*tbEquipe[[#This Row],[Alocação]]</f>
        <v>0</v>
      </c>
      <c r="F492" s="34"/>
      <c r="G4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2" s="1"/>
    </row>
    <row r="493" spans="2:8" hidden="1" x14ac:dyDescent="0.25">
      <c r="B493" s="25" t="str">
        <f>IFERROR(VLOOKUP(tbEquipe[[#This Row],[Nome]],tbFOPAG[[Nome]:[Cargo]],2,0),"&lt;Selecionar Nome&gt;")</f>
        <v>&lt;Selecionar Nome&gt;</v>
      </c>
      <c r="E493">
        <f>176*tbEquipe[[#This Row],[Alocação]]</f>
        <v>0</v>
      </c>
      <c r="F493" s="34"/>
      <c r="G4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3" s="1"/>
    </row>
    <row r="494" spans="2:8" hidden="1" x14ac:dyDescent="0.25">
      <c r="B494" s="25" t="str">
        <f>IFERROR(VLOOKUP(tbEquipe[[#This Row],[Nome]],tbFOPAG[[Nome]:[Cargo]],2,0),"&lt;Selecionar Nome&gt;")</f>
        <v>&lt;Selecionar Nome&gt;</v>
      </c>
      <c r="E494">
        <f>176*tbEquipe[[#This Row],[Alocação]]</f>
        <v>0</v>
      </c>
      <c r="F494" s="34"/>
      <c r="G4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4" s="1"/>
    </row>
    <row r="495" spans="2:8" hidden="1" x14ac:dyDescent="0.25">
      <c r="B495" s="25" t="str">
        <f>IFERROR(VLOOKUP(tbEquipe[[#This Row],[Nome]],tbFOPAG[[Nome]:[Cargo]],2,0),"&lt;Selecionar Nome&gt;")</f>
        <v>&lt;Selecionar Nome&gt;</v>
      </c>
      <c r="E495">
        <f>176*tbEquipe[[#This Row],[Alocação]]</f>
        <v>0</v>
      </c>
      <c r="F495" s="34"/>
      <c r="G4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5" s="1"/>
    </row>
    <row r="496" spans="2:8" hidden="1" x14ac:dyDescent="0.25">
      <c r="B496" s="25" t="str">
        <f>IFERROR(VLOOKUP(tbEquipe[[#This Row],[Nome]],tbFOPAG[[Nome]:[Cargo]],2,0),"&lt;Selecionar Nome&gt;")</f>
        <v>&lt;Selecionar Nome&gt;</v>
      </c>
      <c r="E496">
        <f>176*tbEquipe[[#This Row],[Alocação]]</f>
        <v>0</v>
      </c>
      <c r="F496" s="34"/>
      <c r="G4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6" s="1"/>
    </row>
    <row r="497" spans="2:8" hidden="1" x14ac:dyDescent="0.25">
      <c r="B497" s="25" t="str">
        <f>IFERROR(VLOOKUP(tbEquipe[[#This Row],[Nome]],tbFOPAG[[Nome]:[Cargo]],2,0),"&lt;Selecionar Nome&gt;")</f>
        <v>&lt;Selecionar Nome&gt;</v>
      </c>
      <c r="E497">
        <f>176*tbEquipe[[#This Row],[Alocação]]</f>
        <v>0</v>
      </c>
      <c r="F497" s="34"/>
      <c r="G4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7" s="1"/>
    </row>
    <row r="498" spans="2:8" hidden="1" x14ac:dyDescent="0.25">
      <c r="B498" s="25" t="str">
        <f>IFERROR(VLOOKUP(tbEquipe[[#This Row],[Nome]],tbFOPAG[[Nome]:[Cargo]],2,0),"&lt;Selecionar Nome&gt;")</f>
        <v>&lt;Selecionar Nome&gt;</v>
      </c>
      <c r="E498">
        <f>176*tbEquipe[[#This Row],[Alocação]]</f>
        <v>0</v>
      </c>
      <c r="F498" s="34"/>
      <c r="G4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8" s="1"/>
    </row>
    <row r="499" spans="2:8" hidden="1" x14ac:dyDescent="0.25">
      <c r="B499" s="25" t="str">
        <f>IFERROR(VLOOKUP(tbEquipe[[#This Row],[Nome]],tbFOPAG[[Nome]:[Cargo]],2,0),"&lt;Selecionar Nome&gt;")</f>
        <v>&lt;Selecionar Nome&gt;</v>
      </c>
      <c r="E499">
        <f>176*tbEquipe[[#This Row],[Alocação]]</f>
        <v>0</v>
      </c>
      <c r="F499" s="34"/>
      <c r="G4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499" s="1"/>
    </row>
    <row r="500" spans="2:8" hidden="1" x14ac:dyDescent="0.25">
      <c r="B500" s="25" t="str">
        <f>IFERROR(VLOOKUP(tbEquipe[[#This Row],[Nome]],tbFOPAG[[Nome]:[Cargo]],2,0),"&lt;Selecionar Nome&gt;")</f>
        <v>&lt;Selecionar Nome&gt;</v>
      </c>
      <c r="E500">
        <f>176*tbEquipe[[#This Row],[Alocação]]</f>
        <v>0</v>
      </c>
      <c r="F500" s="34"/>
      <c r="G5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0" s="1"/>
    </row>
    <row r="501" spans="2:8" hidden="1" x14ac:dyDescent="0.25">
      <c r="B501" s="25" t="str">
        <f>IFERROR(VLOOKUP(tbEquipe[[#This Row],[Nome]],tbFOPAG[[Nome]:[Cargo]],2,0),"&lt;Selecionar Nome&gt;")</f>
        <v>&lt;Selecionar Nome&gt;</v>
      </c>
      <c r="E501">
        <f>176*tbEquipe[[#This Row],[Alocação]]</f>
        <v>0</v>
      </c>
      <c r="F501" s="34"/>
      <c r="G5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1" s="1"/>
    </row>
    <row r="502" spans="2:8" hidden="1" x14ac:dyDescent="0.25">
      <c r="B502" s="25" t="str">
        <f>IFERROR(VLOOKUP(tbEquipe[[#This Row],[Nome]],tbFOPAG[[Nome]:[Cargo]],2,0),"&lt;Selecionar Nome&gt;")</f>
        <v>&lt;Selecionar Nome&gt;</v>
      </c>
      <c r="E502">
        <f>176*tbEquipe[[#This Row],[Alocação]]</f>
        <v>0</v>
      </c>
      <c r="F502" s="34"/>
      <c r="G5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2" s="1"/>
    </row>
    <row r="503" spans="2:8" hidden="1" x14ac:dyDescent="0.25">
      <c r="B503" s="25" t="str">
        <f>IFERROR(VLOOKUP(tbEquipe[[#This Row],[Nome]],tbFOPAG[[Nome]:[Cargo]],2,0),"&lt;Selecionar Nome&gt;")</f>
        <v>&lt;Selecionar Nome&gt;</v>
      </c>
      <c r="E503">
        <f>176*tbEquipe[[#This Row],[Alocação]]</f>
        <v>0</v>
      </c>
      <c r="F503" s="34"/>
      <c r="G5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3" s="1"/>
    </row>
    <row r="504" spans="2:8" hidden="1" x14ac:dyDescent="0.25">
      <c r="B504" s="25" t="str">
        <f>IFERROR(VLOOKUP(tbEquipe[[#This Row],[Nome]],tbFOPAG[[Nome]:[Cargo]],2,0),"&lt;Selecionar Nome&gt;")</f>
        <v>&lt;Selecionar Nome&gt;</v>
      </c>
      <c r="E504">
        <f>176*tbEquipe[[#This Row],[Alocação]]</f>
        <v>0</v>
      </c>
      <c r="F504" s="34"/>
      <c r="G5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4" s="1"/>
    </row>
    <row r="505" spans="2:8" hidden="1" x14ac:dyDescent="0.25">
      <c r="B505" s="25" t="str">
        <f>IFERROR(VLOOKUP(tbEquipe[[#This Row],[Nome]],tbFOPAG[[Nome]:[Cargo]],2,0),"&lt;Selecionar Nome&gt;")</f>
        <v>&lt;Selecionar Nome&gt;</v>
      </c>
      <c r="E505">
        <f>176*tbEquipe[[#This Row],[Alocação]]</f>
        <v>0</v>
      </c>
      <c r="F505" s="34"/>
      <c r="G5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5" s="1"/>
    </row>
    <row r="506" spans="2:8" hidden="1" x14ac:dyDescent="0.25">
      <c r="B506" s="25" t="str">
        <f>IFERROR(VLOOKUP(tbEquipe[[#This Row],[Nome]],tbFOPAG[[Nome]:[Cargo]],2,0),"&lt;Selecionar Nome&gt;")</f>
        <v>&lt;Selecionar Nome&gt;</v>
      </c>
      <c r="E506">
        <f>176*tbEquipe[[#This Row],[Alocação]]</f>
        <v>0</v>
      </c>
      <c r="F506" s="34"/>
      <c r="G5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6" s="1"/>
    </row>
    <row r="507" spans="2:8" hidden="1" x14ac:dyDescent="0.25">
      <c r="B507" s="25" t="str">
        <f>IFERROR(VLOOKUP(tbEquipe[[#This Row],[Nome]],tbFOPAG[[Nome]:[Cargo]],2,0),"&lt;Selecionar Nome&gt;")</f>
        <v>&lt;Selecionar Nome&gt;</v>
      </c>
      <c r="E507">
        <f>176*tbEquipe[[#This Row],[Alocação]]</f>
        <v>0</v>
      </c>
      <c r="F507" s="34"/>
      <c r="G5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7" s="1"/>
    </row>
    <row r="508" spans="2:8" hidden="1" x14ac:dyDescent="0.25">
      <c r="B508" s="25" t="str">
        <f>IFERROR(VLOOKUP(tbEquipe[[#This Row],[Nome]],tbFOPAG[[Nome]:[Cargo]],2,0),"&lt;Selecionar Nome&gt;")</f>
        <v>&lt;Selecionar Nome&gt;</v>
      </c>
      <c r="E508">
        <f>176*tbEquipe[[#This Row],[Alocação]]</f>
        <v>0</v>
      </c>
      <c r="F508" s="34"/>
      <c r="G5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8" s="1"/>
    </row>
    <row r="509" spans="2:8" hidden="1" x14ac:dyDescent="0.25">
      <c r="B509" s="25" t="str">
        <f>IFERROR(VLOOKUP(tbEquipe[[#This Row],[Nome]],tbFOPAG[[Nome]:[Cargo]],2,0),"&lt;Selecionar Nome&gt;")</f>
        <v>&lt;Selecionar Nome&gt;</v>
      </c>
      <c r="E509">
        <f>176*tbEquipe[[#This Row],[Alocação]]</f>
        <v>0</v>
      </c>
      <c r="F509" s="34"/>
      <c r="G5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09" s="1"/>
    </row>
    <row r="510" spans="2:8" hidden="1" x14ac:dyDescent="0.25">
      <c r="B510" s="25" t="str">
        <f>IFERROR(VLOOKUP(tbEquipe[[#This Row],[Nome]],tbFOPAG[[Nome]:[Cargo]],2,0),"&lt;Selecionar Nome&gt;")</f>
        <v>&lt;Selecionar Nome&gt;</v>
      </c>
      <c r="E510">
        <f>176*tbEquipe[[#This Row],[Alocação]]</f>
        <v>0</v>
      </c>
      <c r="F510" s="34"/>
      <c r="G5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0" s="1"/>
    </row>
    <row r="511" spans="2:8" hidden="1" x14ac:dyDescent="0.25">
      <c r="B511" s="25" t="str">
        <f>IFERROR(VLOOKUP(tbEquipe[[#This Row],[Nome]],tbFOPAG[[Nome]:[Cargo]],2,0),"&lt;Selecionar Nome&gt;")</f>
        <v>&lt;Selecionar Nome&gt;</v>
      </c>
      <c r="E511">
        <f>176*tbEquipe[[#This Row],[Alocação]]</f>
        <v>0</v>
      </c>
      <c r="F511" s="34"/>
      <c r="G5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1" s="1"/>
    </row>
    <row r="512" spans="2:8" hidden="1" x14ac:dyDescent="0.25">
      <c r="B512" s="25" t="str">
        <f>IFERROR(VLOOKUP(tbEquipe[[#This Row],[Nome]],tbFOPAG[[Nome]:[Cargo]],2,0),"&lt;Selecionar Nome&gt;")</f>
        <v>&lt;Selecionar Nome&gt;</v>
      </c>
      <c r="E512">
        <f>176*tbEquipe[[#This Row],[Alocação]]</f>
        <v>0</v>
      </c>
      <c r="F512" s="34"/>
      <c r="G5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2" s="1"/>
    </row>
    <row r="513" spans="2:8" hidden="1" x14ac:dyDescent="0.25">
      <c r="B513" s="25" t="str">
        <f>IFERROR(VLOOKUP(tbEquipe[[#This Row],[Nome]],tbFOPAG[[Nome]:[Cargo]],2,0),"&lt;Selecionar Nome&gt;")</f>
        <v>&lt;Selecionar Nome&gt;</v>
      </c>
      <c r="E513">
        <f>176*tbEquipe[[#This Row],[Alocação]]</f>
        <v>0</v>
      </c>
      <c r="F513" s="34"/>
      <c r="G5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3" s="1"/>
    </row>
    <row r="514" spans="2:8" hidden="1" x14ac:dyDescent="0.25">
      <c r="B514" s="25" t="str">
        <f>IFERROR(VLOOKUP(tbEquipe[[#This Row],[Nome]],tbFOPAG[[Nome]:[Cargo]],2,0),"&lt;Selecionar Nome&gt;")</f>
        <v>&lt;Selecionar Nome&gt;</v>
      </c>
      <c r="E514">
        <f>176*tbEquipe[[#This Row],[Alocação]]</f>
        <v>0</v>
      </c>
      <c r="F514" s="34"/>
      <c r="G5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4" s="1"/>
    </row>
    <row r="515" spans="2:8" hidden="1" x14ac:dyDescent="0.25">
      <c r="B515" s="25" t="str">
        <f>IFERROR(VLOOKUP(tbEquipe[[#This Row],[Nome]],tbFOPAG[[Nome]:[Cargo]],2,0),"&lt;Selecionar Nome&gt;")</f>
        <v>&lt;Selecionar Nome&gt;</v>
      </c>
      <c r="E515">
        <f>176*tbEquipe[[#This Row],[Alocação]]</f>
        <v>0</v>
      </c>
      <c r="F515" s="34"/>
      <c r="G5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5" s="1"/>
    </row>
    <row r="516" spans="2:8" hidden="1" x14ac:dyDescent="0.25">
      <c r="B516" s="25" t="str">
        <f>IFERROR(VLOOKUP(tbEquipe[[#This Row],[Nome]],tbFOPAG[[Nome]:[Cargo]],2,0),"&lt;Selecionar Nome&gt;")</f>
        <v>&lt;Selecionar Nome&gt;</v>
      </c>
      <c r="E516">
        <f>176*tbEquipe[[#This Row],[Alocação]]</f>
        <v>0</v>
      </c>
      <c r="F516" s="34"/>
      <c r="G5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6" s="1"/>
    </row>
    <row r="517" spans="2:8" hidden="1" x14ac:dyDescent="0.25">
      <c r="B517" s="25" t="str">
        <f>IFERROR(VLOOKUP(tbEquipe[[#This Row],[Nome]],tbFOPAG[[Nome]:[Cargo]],2,0),"&lt;Selecionar Nome&gt;")</f>
        <v>&lt;Selecionar Nome&gt;</v>
      </c>
      <c r="E517">
        <f>176*tbEquipe[[#This Row],[Alocação]]</f>
        <v>0</v>
      </c>
      <c r="F517" s="34"/>
      <c r="G5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7" s="1"/>
    </row>
    <row r="518" spans="2:8" hidden="1" x14ac:dyDescent="0.25">
      <c r="B518" s="25" t="str">
        <f>IFERROR(VLOOKUP(tbEquipe[[#This Row],[Nome]],tbFOPAG[[Nome]:[Cargo]],2,0),"&lt;Selecionar Nome&gt;")</f>
        <v>&lt;Selecionar Nome&gt;</v>
      </c>
      <c r="E518">
        <f>176*tbEquipe[[#This Row],[Alocação]]</f>
        <v>0</v>
      </c>
      <c r="F518" s="34"/>
      <c r="G5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8" s="1"/>
    </row>
    <row r="519" spans="2:8" hidden="1" x14ac:dyDescent="0.25">
      <c r="B519" s="25" t="str">
        <f>IFERROR(VLOOKUP(tbEquipe[[#This Row],[Nome]],tbFOPAG[[Nome]:[Cargo]],2,0),"&lt;Selecionar Nome&gt;")</f>
        <v>&lt;Selecionar Nome&gt;</v>
      </c>
      <c r="E519">
        <f>176*tbEquipe[[#This Row],[Alocação]]</f>
        <v>0</v>
      </c>
      <c r="F519" s="34"/>
      <c r="G5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19" s="1"/>
    </row>
    <row r="520" spans="2:8" hidden="1" x14ac:dyDescent="0.25">
      <c r="B520" s="25" t="str">
        <f>IFERROR(VLOOKUP(tbEquipe[[#This Row],[Nome]],tbFOPAG[[Nome]:[Cargo]],2,0),"&lt;Selecionar Nome&gt;")</f>
        <v>&lt;Selecionar Nome&gt;</v>
      </c>
      <c r="E520">
        <f>176*tbEquipe[[#This Row],[Alocação]]</f>
        <v>0</v>
      </c>
      <c r="F520" s="34"/>
      <c r="G5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0" s="1"/>
    </row>
    <row r="521" spans="2:8" hidden="1" x14ac:dyDescent="0.25">
      <c r="B521" s="25" t="str">
        <f>IFERROR(VLOOKUP(tbEquipe[[#This Row],[Nome]],tbFOPAG[[Nome]:[Cargo]],2,0),"&lt;Selecionar Nome&gt;")</f>
        <v>&lt;Selecionar Nome&gt;</v>
      </c>
      <c r="E521">
        <f>176*tbEquipe[[#This Row],[Alocação]]</f>
        <v>0</v>
      </c>
      <c r="F521" s="34"/>
      <c r="G5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1" s="1"/>
    </row>
    <row r="522" spans="2:8" hidden="1" x14ac:dyDescent="0.25">
      <c r="B522" s="25" t="str">
        <f>IFERROR(VLOOKUP(tbEquipe[[#This Row],[Nome]],tbFOPAG[[Nome]:[Cargo]],2,0),"&lt;Selecionar Nome&gt;")</f>
        <v>&lt;Selecionar Nome&gt;</v>
      </c>
      <c r="E522">
        <f>176*tbEquipe[[#This Row],[Alocação]]</f>
        <v>0</v>
      </c>
      <c r="F522" s="34"/>
      <c r="G5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2" s="1"/>
    </row>
    <row r="523" spans="2:8" hidden="1" x14ac:dyDescent="0.25">
      <c r="B523" s="25" t="str">
        <f>IFERROR(VLOOKUP(tbEquipe[[#This Row],[Nome]],tbFOPAG[[Nome]:[Cargo]],2,0),"&lt;Selecionar Nome&gt;")</f>
        <v>&lt;Selecionar Nome&gt;</v>
      </c>
      <c r="E523">
        <f>176*tbEquipe[[#This Row],[Alocação]]</f>
        <v>0</v>
      </c>
      <c r="F523" s="34"/>
      <c r="G5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3" s="1"/>
    </row>
    <row r="524" spans="2:8" hidden="1" x14ac:dyDescent="0.25">
      <c r="B524" s="25" t="str">
        <f>IFERROR(VLOOKUP(tbEquipe[[#This Row],[Nome]],tbFOPAG[[Nome]:[Cargo]],2,0),"&lt;Selecionar Nome&gt;")</f>
        <v>&lt;Selecionar Nome&gt;</v>
      </c>
      <c r="E524">
        <f>176*tbEquipe[[#This Row],[Alocação]]</f>
        <v>0</v>
      </c>
      <c r="F524" s="34"/>
      <c r="G5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4" s="1"/>
    </row>
    <row r="525" spans="2:8" hidden="1" x14ac:dyDescent="0.25">
      <c r="B525" s="25" t="str">
        <f>IFERROR(VLOOKUP(tbEquipe[[#This Row],[Nome]],tbFOPAG[[Nome]:[Cargo]],2,0),"&lt;Selecionar Nome&gt;")</f>
        <v>&lt;Selecionar Nome&gt;</v>
      </c>
      <c r="E525">
        <f>176*tbEquipe[[#This Row],[Alocação]]</f>
        <v>0</v>
      </c>
      <c r="F525" s="34"/>
      <c r="G5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5" s="1"/>
    </row>
    <row r="526" spans="2:8" hidden="1" x14ac:dyDescent="0.25">
      <c r="B526" s="25" t="str">
        <f>IFERROR(VLOOKUP(tbEquipe[[#This Row],[Nome]],tbFOPAG[[Nome]:[Cargo]],2,0),"&lt;Selecionar Nome&gt;")</f>
        <v>&lt;Selecionar Nome&gt;</v>
      </c>
      <c r="E526">
        <f>176*tbEquipe[[#This Row],[Alocação]]</f>
        <v>0</v>
      </c>
      <c r="F526" s="34"/>
      <c r="G5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6" s="1"/>
    </row>
    <row r="527" spans="2:8" hidden="1" x14ac:dyDescent="0.25">
      <c r="B527" s="25" t="str">
        <f>IFERROR(VLOOKUP(tbEquipe[[#This Row],[Nome]],tbFOPAG[[Nome]:[Cargo]],2,0),"&lt;Selecionar Nome&gt;")</f>
        <v>&lt;Selecionar Nome&gt;</v>
      </c>
      <c r="E527">
        <f>176*tbEquipe[[#This Row],[Alocação]]</f>
        <v>0</v>
      </c>
      <c r="F527" s="34"/>
      <c r="G5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7" s="1"/>
    </row>
    <row r="528" spans="2:8" hidden="1" x14ac:dyDescent="0.25">
      <c r="B528" s="25" t="str">
        <f>IFERROR(VLOOKUP(tbEquipe[[#This Row],[Nome]],tbFOPAG[[Nome]:[Cargo]],2,0),"&lt;Selecionar Nome&gt;")</f>
        <v>&lt;Selecionar Nome&gt;</v>
      </c>
      <c r="E528">
        <f>176*tbEquipe[[#This Row],[Alocação]]</f>
        <v>0</v>
      </c>
      <c r="F528" s="34"/>
      <c r="G5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8" s="1"/>
    </row>
    <row r="529" spans="2:8" hidden="1" x14ac:dyDescent="0.25">
      <c r="B529" s="25" t="str">
        <f>IFERROR(VLOOKUP(tbEquipe[[#This Row],[Nome]],tbFOPAG[[Nome]:[Cargo]],2,0),"&lt;Selecionar Nome&gt;")</f>
        <v>&lt;Selecionar Nome&gt;</v>
      </c>
      <c r="E529">
        <f>176*tbEquipe[[#This Row],[Alocação]]</f>
        <v>0</v>
      </c>
      <c r="F529" s="34"/>
      <c r="G5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29" s="1"/>
    </row>
    <row r="530" spans="2:8" hidden="1" x14ac:dyDescent="0.25">
      <c r="B530" s="25" t="str">
        <f>IFERROR(VLOOKUP(tbEquipe[[#This Row],[Nome]],tbFOPAG[[Nome]:[Cargo]],2,0),"&lt;Selecionar Nome&gt;")</f>
        <v>&lt;Selecionar Nome&gt;</v>
      </c>
      <c r="E530">
        <f>176*tbEquipe[[#This Row],[Alocação]]</f>
        <v>0</v>
      </c>
      <c r="F530" s="34"/>
      <c r="G5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0" s="1"/>
    </row>
    <row r="531" spans="2:8" hidden="1" x14ac:dyDescent="0.25">
      <c r="B531" s="25" t="str">
        <f>IFERROR(VLOOKUP(tbEquipe[[#This Row],[Nome]],tbFOPAG[[Nome]:[Cargo]],2,0),"&lt;Selecionar Nome&gt;")</f>
        <v>&lt;Selecionar Nome&gt;</v>
      </c>
      <c r="E531">
        <f>176*tbEquipe[[#This Row],[Alocação]]</f>
        <v>0</v>
      </c>
      <c r="F531" s="34"/>
      <c r="G5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1" s="1"/>
    </row>
    <row r="532" spans="2:8" hidden="1" x14ac:dyDescent="0.25">
      <c r="B532" s="25" t="str">
        <f>IFERROR(VLOOKUP(tbEquipe[[#This Row],[Nome]],tbFOPAG[[Nome]:[Cargo]],2,0),"&lt;Selecionar Nome&gt;")</f>
        <v>&lt;Selecionar Nome&gt;</v>
      </c>
      <c r="E532">
        <f>176*tbEquipe[[#This Row],[Alocação]]</f>
        <v>0</v>
      </c>
      <c r="F532" s="34"/>
      <c r="G5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2" s="1"/>
    </row>
    <row r="533" spans="2:8" hidden="1" x14ac:dyDescent="0.25">
      <c r="B533" s="25" t="str">
        <f>IFERROR(VLOOKUP(tbEquipe[[#This Row],[Nome]],tbFOPAG[[Nome]:[Cargo]],2,0),"&lt;Selecionar Nome&gt;")</f>
        <v>&lt;Selecionar Nome&gt;</v>
      </c>
      <c r="E533">
        <f>176*tbEquipe[[#This Row],[Alocação]]</f>
        <v>0</v>
      </c>
      <c r="F533" s="34"/>
      <c r="G5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3" s="1"/>
    </row>
    <row r="534" spans="2:8" hidden="1" x14ac:dyDescent="0.25">
      <c r="B534" s="25" t="str">
        <f>IFERROR(VLOOKUP(tbEquipe[[#This Row],[Nome]],tbFOPAG[[Nome]:[Cargo]],2,0),"&lt;Selecionar Nome&gt;")</f>
        <v>&lt;Selecionar Nome&gt;</v>
      </c>
      <c r="E534">
        <f>176*tbEquipe[[#This Row],[Alocação]]</f>
        <v>0</v>
      </c>
      <c r="F534" s="34"/>
      <c r="G5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4" s="1"/>
    </row>
    <row r="535" spans="2:8" hidden="1" x14ac:dyDescent="0.25">
      <c r="B535" s="25" t="str">
        <f>IFERROR(VLOOKUP(tbEquipe[[#This Row],[Nome]],tbFOPAG[[Nome]:[Cargo]],2,0),"&lt;Selecionar Nome&gt;")</f>
        <v>&lt;Selecionar Nome&gt;</v>
      </c>
      <c r="E535">
        <f>176*tbEquipe[[#This Row],[Alocação]]</f>
        <v>0</v>
      </c>
      <c r="F535" s="34"/>
      <c r="G5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5" s="1"/>
    </row>
    <row r="536" spans="2:8" hidden="1" x14ac:dyDescent="0.25">
      <c r="B536" s="25" t="str">
        <f>IFERROR(VLOOKUP(tbEquipe[[#This Row],[Nome]],tbFOPAG[[Nome]:[Cargo]],2,0),"&lt;Selecionar Nome&gt;")</f>
        <v>&lt;Selecionar Nome&gt;</v>
      </c>
      <c r="E536">
        <f>176*tbEquipe[[#This Row],[Alocação]]</f>
        <v>0</v>
      </c>
      <c r="F536" s="34"/>
      <c r="G5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6" s="1"/>
    </row>
    <row r="537" spans="2:8" hidden="1" x14ac:dyDescent="0.25">
      <c r="B537" s="25" t="str">
        <f>IFERROR(VLOOKUP(tbEquipe[[#This Row],[Nome]],tbFOPAG[[Nome]:[Cargo]],2,0),"&lt;Selecionar Nome&gt;")</f>
        <v>&lt;Selecionar Nome&gt;</v>
      </c>
      <c r="E537">
        <f>176*tbEquipe[[#This Row],[Alocação]]</f>
        <v>0</v>
      </c>
      <c r="F537" s="34"/>
      <c r="G5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7" s="1"/>
    </row>
    <row r="538" spans="2:8" hidden="1" x14ac:dyDescent="0.25">
      <c r="B538" s="25" t="str">
        <f>IFERROR(VLOOKUP(tbEquipe[[#This Row],[Nome]],tbFOPAG[[Nome]:[Cargo]],2,0),"&lt;Selecionar Nome&gt;")</f>
        <v>&lt;Selecionar Nome&gt;</v>
      </c>
      <c r="E538">
        <f>176*tbEquipe[[#This Row],[Alocação]]</f>
        <v>0</v>
      </c>
      <c r="F538" s="34"/>
      <c r="G5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8" s="1"/>
    </row>
    <row r="539" spans="2:8" hidden="1" x14ac:dyDescent="0.25">
      <c r="B539" s="25" t="str">
        <f>IFERROR(VLOOKUP(tbEquipe[[#This Row],[Nome]],tbFOPAG[[Nome]:[Cargo]],2,0),"&lt;Selecionar Nome&gt;")</f>
        <v>&lt;Selecionar Nome&gt;</v>
      </c>
      <c r="E539">
        <f>176*tbEquipe[[#This Row],[Alocação]]</f>
        <v>0</v>
      </c>
      <c r="F539" s="34"/>
      <c r="G5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39" s="1"/>
    </row>
    <row r="540" spans="2:8" hidden="1" x14ac:dyDescent="0.25">
      <c r="B540" s="25" t="str">
        <f>IFERROR(VLOOKUP(tbEquipe[[#This Row],[Nome]],tbFOPAG[[Nome]:[Cargo]],2,0),"&lt;Selecionar Nome&gt;")</f>
        <v>&lt;Selecionar Nome&gt;</v>
      </c>
      <c r="E540">
        <f>176*tbEquipe[[#This Row],[Alocação]]</f>
        <v>0</v>
      </c>
      <c r="F540" s="34"/>
      <c r="G5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0" s="1"/>
    </row>
    <row r="541" spans="2:8" hidden="1" x14ac:dyDescent="0.25">
      <c r="B541" s="25" t="str">
        <f>IFERROR(VLOOKUP(tbEquipe[[#This Row],[Nome]],tbFOPAG[[Nome]:[Cargo]],2,0),"&lt;Selecionar Nome&gt;")</f>
        <v>&lt;Selecionar Nome&gt;</v>
      </c>
      <c r="E541">
        <f>176*tbEquipe[[#This Row],[Alocação]]</f>
        <v>0</v>
      </c>
      <c r="F541" s="34"/>
      <c r="G5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1" s="1"/>
    </row>
    <row r="542" spans="2:8" hidden="1" x14ac:dyDescent="0.25">
      <c r="B542" s="25" t="str">
        <f>IFERROR(VLOOKUP(tbEquipe[[#This Row],[Nome]],tbFOPAG[[Nome]:[Cargo]],2,0),"&lt;Selecionar Nome&gt;")</f>
        <v>&lt;Selecionar Nome&gt;</v>
      </c>
      <c r="E542">
        <f>176*tbEquipe[[#This Row],[Alocação]]</f>
        <v>0</v>
      </c>
      <c r="F542" s="34"/>
      <c r="G5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2" s="1"/>
    </row>
    <row r="543" spans="2:8" hidden="1" x14ac:dyDescent="0.25">
      <c r="B543" s="25" t="str">
        <f>IFERROR(VLOOKUP(tbEquipe[[#This Row],[Nome]],tbFOPAG[[Nome]:[Cargo]],2,0),"&lt;Selecionar Nome&gt;")</f>
        <v>&lt;Selecionar Nome&gt;</v>
      </c>
      <c r="E543">
        <f>176*tbEquipe[[#This Row],[Alocação]]</f>
        <v>0</v>
      </c>
      <c r="F543" s="34"/>
      <c r="G5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3" s="1"/>
    </row>
    <row r="544" spans="2:8" hidden="1" x14ac:dyDescent="0.25">
      <c r="B544" s="25" t="str">
        <f>IFERROR(VLOOKUP(tbEquipe[[#This Row],[Nome]],tbFOPAG[[Nome]:[Cargo]],2,0),"&lt;Selecionar Nome&gt;")</f>
        <v>&lt;Selecionar Nome&gt;</v>
      </c>
      <c r="E544">
        <f>176*tbEquipe[[#This Row],[Alocação]]</f>
        <v>0</v>
      </c>
      <c r="F544" s="34"/>
      <c r="G5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4" s="1"/>
    </row>
    <row r="545" spans="2:8" hidden="1" x14ac:dyDescent="0.25">
      <c r="B545" s="25" t="str">
        <f>IFERROR(VLOOKUP(tbEquipe[[#This Row],[Nome]],tbFOPAG[[Nome]:[Cargo]],2,0),"&lt;Selecionar Nome&gt;")</f>
        <v>&lt;Selecionar Nome&gt;</v>
      </c>
      <c r="E545">
        <f>176*tbEquipe[[#This Row],[Alocação]]</f>
        <v>0</v>
      </c>
      <c r="F545" s="34"/>
      <c r="G5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5" s="1"/>
    </row>
    <row r="546" spans="2:8" hidden="1" x14ac:dyDescent="0.25">
      <c r="B546" s="25" t="str">
        <f>IFERROR(VLOOKUP(tbEquipe[[#This Row],[Nome]],tbFOPAG[[Nome]:[Cargo]],2,0),"&lt;Selecionar Nome&gt;")</f>
        <v>&lt;Selecionar Nome&gt;</v>
      </c>
      <c r="E546">
        <f>176*tbEquipe[[#This Row],[Alocação]]</f>
        <v>0</v>
      </c>
      <c r="F546" s="34"/>
      <c r="G5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6" s="1"/>
    </row>
    <row r="547" spans="2:8" hidden="1" x14ac:dyDescent="0.25">
      <c r="B547" s="25" t="str">
        <f>IFERROR(VLOOKUP(tbEquipe[[#This Row],[Nome]],tbFOPAG[[Nome]:[Cargo]],2,0),"&lt;Selecionar Nome&gt;")</f>
        <v>&lt;Selecionar Nome&gt;</v>
      </c>
      <c r="E547">
        <f>176*tbEquipe[[#This Row],[Alocação]]</f>
        <v>0</v>
      </c>
      <c r="F547" s="34"/>
      <c r="G5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7" s="1"/>
    </row>
    <row r="548" spans="2:8" hidden="1" x14ac:dyDescent="0.25">
      <c r="B548" s="25" t="str">
        <f>IFERROR(VLOOKUP(tbEquipe[[#This Row],[Nome]],tbFOPAG[[Nome]:[Cargo]],2,0),"&lt;Selecionar Nome&gt;")</f>
        <v>&lt;Selecionar Nome&gt;</v>
      </c>
      <c r="E548">
        <f>176*tbEquipe[[#This Row],[Alocação]]</f>
        <v>0</v>
      </c>
      <c r="F548" s="34"/>
      <c r="G5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8" s="1"/>
    </row>
    <row r="549" spans="2:8" hidden="1" x14ac:dyDescent="0.25">
      <c r="B549" s="25" t="str">
        <f>IFERROR(VLOOKUP(tbEquipe[[#This Row],[Nome]],tbFOPAG[[Nome]:[Cargo]],2,0),"&lt;Selecionar Nome&gt;")</f>
        <v>&lt;Selecionar Nome&gt;</v>
      </c>
      <c r="E549">
        <f>176*tbEquipe[[#This Row],[Alocação]]</f>
        <v>0</v>
      </c>
      <c r="F549" s="34"/>
      <c r="G5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49" s="1"/>
    </row>
    <row r="550" spans="2:8" hidden="1" x14ac:dyDescent="0.25">
      <c r="B550" s="25" t="str">
        <f>IFERROR(VLOOKUP(tbEquipe[[#This Row],[Nome]],tbFOPAG[[Nome]:[Cargo]],2,0),"&lt;Selecionar Nome&gt;")</f>
        <v>&lt;Selecionar Nome&gt;</v>
      </c>
      <c r="E550">
        <f>176*tbEquipe[[#This Row],[Alocação]]</f>
        <v>0</v>
      </c>
      <c r="F550" s="34"/>
      <c r="G5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0" s="1"/>
    </row>
    <row r="551" spans="2:8" hidden="1" x14ac:dyDescent="0.25">
      <c r="B551" s="25" t="str">
        <f>IFERROR(VLOOKUP(tbEquipe[[#This Row],[Nome]],tbFOPAG[[Nome]:[Cargo]],2,0),"&lt;Selecionar Nome&gt;")</f>
        <v>&lt;Selecionar Nome&gt;</v>
      </c>
      <c r="E551">
        <f>176*tbEquipe[[#This Row],[Alocação]]</f>
        <v>0</v>
      </c>
      <c r="F551" s="34"/>
      <c r="G5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1" s="1"/>
    </row>
    <row r="552" spans="2:8" hidden="1" x14ac:dyDescent="0.25">
      <c r="B552" s="25" t="str">
        <f>IFERROR(VLOOKUP(tbEquipe[[#This Row],[Nome]],tbFOPAG[[Nome]:[Cargo]],2,0),"&lt;Selecionar Nome&gt;")</f>
        <v>&lt;Selecionar Nome&gt;</v>
      </c>
      <c r="E552">
        <f>176*tbEquipe[[#This Row],[Alocação]]</f>
        <v>0</v>
      </c>
      <c r="F552" s="34"/>
      <c r="G5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2" s="1"/>
    </row>
    <row r="553" spans="2:8" hidden="1" x14ac:dyDescent="0.25">
      <c r="B553" s="25" t="str">
        <f>IFERROR(VLOOKUP(tbEquipe[[#This Row],[Nome]],tbFOPAG[[Nome]:[Cargo]],2,0),"&lt;Selecionar Nome&gt;")</f>
        <v>&lt;Selecionar Nome&gt;</v>
      </c>
      <c r="E553">
        <f>176*tbEquipe[[#This Row],[Alocação]]</f>
        <v>0</v>
      </c>
      <c r="F553" s="34"/>
      <c r="G5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3" s="1"/>
    </row>
    <row r="554" spans="2:8" hidden="1" x14ac:dyDescent="0.25">
      <c r="B554" s="25" t="str">
        <f>IFERROR(VLOOKUP(tbEquipe[[#This Row],[Nome]],tbFOPAG[[Nome]:[Cargo]],2,0),"&lt;Selecionar Nome&gt;")</f>
        <v>&lt;Selecionar Nome&gt;</v>
      </c>
      <c r="E554">
        <f>176*tbEquipe[[#This Row],[Alocação]]</f>
        <v>0</v>
      </c>
      <c r="F554" s="34"/>
      <c r="G5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4" s="1"/>
    </row>
    <row r="555" spans="2:8" hidden="1" x14ac:dyDescent="0.25">
      <c r="B555" s="25" t="str">
        <f>IFERROR(VLOOKUP(tbEquipe[[#This Row],[Nome]],tbFOPAG[[Nome]:[Cargo]],2,0),"&lt;Selecionar Nome&gt;")</f>
        <v>&lt;Selecionar Nome&gt;</v>
      </c>
      <c r="E555">
        <f>176*tbEquipe[[#This Row],[Alocação]]</f>
        <v>0</v>
      </c>
      <c r="F555" s="34"/>
      <c r="G5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5" s="1"/>
    </row>
    <row r="556" spans="2:8" hidden="1" x14ac:dyDescent="0.25">
      <c r="B556" s="25" t="str">
        <f>IFERROR(VLOOKUP(tbEquipe[[#This Row],[Nome]],tbFOPAG[[Nome]:[Cargo]],2,0),"&lt;Selecionar Nome&gt;")</f>
        <v>&lt;Selecionar Nome&gt;</v>
      </c>
      <c r="E556">
        <f>176*tbEquipe[[#This Row],[Alocação]]</f>
        <v>0</v>
      </c>
      <c r="F556" s="34"/>
      <c r="G5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6" s="1"/>
    </row>
    <row r="557" spans="2:8" hidden="1" x14ac:dyDescent="0.25">
      <c r="B557" s="25" t="str">
        <f>IFERROR(VLOOKUP(tbEquipe[[#This Row],[Nome]],tbFOPAG[[Nome]:[Cargo]],2,0),"&lt;Selecionar Nome&gt;")</f>
        <v>&lt;Selecionar Nome&gt;</v>
      </c>
      <c r="E557">
        <f>176*tbEquipe[[#This Row],[Alocação]]</f>
        <v>0</v>
      </c>
      <c r="F557" s="34"/>
      <c r="G5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7" s="1"/>
    </row>
    <row r="558" spans="2:8" hidden="1" x14ac:dyDescent="0.25">
      <c r="B558" s="25" t="str">
        <f>IFERROR(VLOOKUP(tbEquipe[[#This Row],[Nome]],tbFOPAG[[Nome]:[Cargo]],2,0),"&lt;Selecionar Nome&gt;")</f>
        <v>&lt;Selecionar Nome&gt;</v>
      </c>
      <c r="E558">
        <f>176*tbEquipe[[#This Row],[Alocação]]</f>
        <v>0</v>
      </c>
      <c r="F558" s="34"/>
      <c r="G5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8" s="1"/>
    </row>
    <row r="559" spans="2:8" hidden="1" x14ac:dyDescent="0.25">
      <c r="B559" s="25" t="str">
        <f>IFERROR(VLOOKUP(tbEquipe[[#This Row],[Nome]],tbFOPAG[[Nome]:[Cargo]],2,0),"&lt;Selecionar Nome&gt;")</f>
        <v>&lt;Selecionar Nome&gt;</v>
      </c>
      <c r="E559">
        <f>176*tbEquipe[[#This Row],[Alocação]]</f>
        <v>0</v>
      </c>
      <c r="F559" s="34"/>
      <c r="G5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59" s="1"/>
    </row>
    <row r="560" spans="2:8" hidden="1" x14ac:dyDescent="0.25">
      <c r="B560" s="25" t="str">
        <f>IFERROR(VLOOKUP(tbEquipe[[#This Row],[Nome]],tbFOPAG[[Nome]:[Cargo]],2,0),"&lt;Selecionar Nome&gt;")</f>
        <v>&lt;Selecionar Nome&gt;</v>
      </c>
      <c r="E560">
        <f>176*tbEquipe[[#This Row],[Alocação]]</f>
        <v>0</v>
      </c>
      <c r="F560" s="34"/>
      <c r="G5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0" s="1"/>
    </row>
    <row r="561" spans="2:8" hidden="1" x14ac:dyDescent="0.25">
      <c r="B561" s="25" t="str">
        <f>IFERROR(VLOOKUP(tbEquipe[[#This Row],[Nome]],tbFOPAG[[Nome]:[Cargo]],2,0),"&lt;Selecionar Nome&gt;")</f>
        <v>&lt;Selecionar Nome&gt;</v>
      </c>
      <c r="E561">
        <f>176*tbEquipe[[#This Row],[Alocação]]</f>
        <v>0</v>
      </c>
      <c r="F561" s="34"/>
      <c r="G5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1" s="1"/>
    </row>
    <row r="562" spans="2:8" hidden="1" x14ac:dyDescent="0.25">
      <c r="B562" s="25" t="str">
        <f>IFERROR(VLOOKUP(tbEquipe[[#This Row],[Nome]],tbFOPAG[[Nome]:[Cargo]],2,0),"&lt;Selecionar Nome&gt;")</f>
        <v>&lt;Selecionar Nome&gt;</v>
      </c>
      <c r="E562">
        <f>176*tbEquipe[[#This Row],[Alocação]]</f>
        <v>0</v>
      </c>
      <c r="F562" s="34"/>
      <c r="G5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2" s="1"/>
    </row>
    <row r="563" spans="2:8" hidden="1" x14ac:dyDescent="0.25">
      <c r="B563" s="25" t="str">
        <f>IFERROR(VLOOKUP(tbEquipe[[#This Row],[Nome]],tbFOPAG[[Nome]:[Cargo]],2,0),"&lt;Selecionar Nome&gt;")</f>
        <v>&lt;Selecionar Nome&gt;</v>
      </c>
      <c r="E563">
        <f>176*tbEquipe[[#This Row],[Alocação]]</f>
        <v>0</v>
      </c>
      <c r="F563" s="34"/>
      <c r="G5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3" s="1"/>
    </row>
    <row r="564" spans="2:8" hidden="1" x14ac:dyDescent="0.25">
      <c r="B564" s="25" t="str">
        <f>IFERROR(VLOOKUP(tbEquipe[[#This Row],[Nome]],tbFOPAG[[Nome]:[Cargo]],2,0),"&lt;Selecionar Nome&gt;")</f>
        <v>&lt;Selecionar Nome&gt;</v>
      </c>
      <c r="E564">
        <f>176*tbEquipe[[#This Row],[Alocação]]</f>
        <v>0</v>
      </c>
      <c r="F564" s="34"/>
      <c r="G5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4" s="1"/>
    </row>
    <row r="565" spans="2:8" hidden="1" x14ac:dyDescent="0.25">
      <c r="B565" s="25" t="str">
        <f>IFERROR(VLOOKUP(tbEquipe[[#This Row],[Nome]],tbFOPAG[[Nome]:[Cargo]],2,0),"&lt;Selecionar Nome&gt;")</f>
        <v>&lt;Selecionar Nome&gt;</v>
      </c>
      <c r="E565">
        <f>176*tbEquipe[[#This Row],[Alocação]]</f>
        <v>0</v>
      </c>
      <c r="F565" s="34"/>
      <c r="G5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5" s="1"/>
    </row>
    <row r="566" spans="2:8" hidden="1" x14ac:dyDescent="0.25">
      <c r="B566" s="25" t="str">
        <f>IFERROR(VLOOKUP(tbEquipe[[#This Row],[Nome]],tbFOPAG[[Nome]:[Cargo]],2,0),"&lt;Selecionar Nome&gt;")</f>
        <v>&lt;Selecionar Nome&gt;</v>
      </c>
      <c r="E566">
        <f>176*tbEquipe[[#This Row],[Alocação]]</f>
        <v>0</v>
      </c>
      <c r="F566" s="34"/>
      <c r="G5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6" s="1"/>
    </row>
    <row r="567" spans="2:8" hidden="1" x14ac:dyDescent="0.25">
      <c r="B567" s="25" t="str">
        <f>IFERROR(VLOOKUP(tbEquipe[[#This Row],[Nome]],tbFOPAG[[Nome]:[Cargo]],2,0),"&lt;Selecionar Nome&gt;")</f>
        <v>&lt;Selecionar Nome&gt;</v>
      </c>
      <c r="E567">
        <f>176*tbEquipe[[#This Row],[Alocação]]</f>
        <v>0</v>
      </c>
      <c r="F567" s="34"/>
      <c r="G5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7" s="1"/>
    </row>
    <row r="568" spans="2:8" hidden="1" x14ac:dyDescent="0.25">
      <c r="B568" s="25" t="str">
        <f>IFERROR(VLOOKUP(tbEquipe[[#This Row],[Nome]],tbFOPAG[[Nome]:[Cargo]],2,0),"&lt;Selecionar Nome&gt;")</f>
        <v>&lt;Selecionar Nome&gt;</v>
      </c>
      <c r="E568">
        <f>176*tbEquipe[[#This Row],[Alocação]]</f>
        <v>0</v>
      </c>
      <c r="F568" s="34"/>
      <c r="G5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8" s="1"/>
    </row>
    <row r="569" spans="2:8" hidden="1" x14ac:dyDescent="0.25">
      <c r="B569" s="25" t="str">
        <f>IFERROR(VLOOKUP(tbEquipe[[#This Row],[Nome]],tbFOPAG[[Nome]:[Cargo]],2,0),"&lt;Selecionar Nome&gt;")</f>
        <v>&lt;Selecionar Nome&gt;</v>
      </c>
      <c r="E569">
        <f>176*tbEquipe[[#This Row],[Alocação]]</f>
        <v>0</v>
      </c>
      <c r="F569" s="34"/>
      <c r="G5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69" s="1"/>
    </row>
    <row r="570" spans="2:8" hidden="1" x14ac:dyDescent="0.25">
      <c r="B570" s="25" t="str">
        <f>IFERROR(VLOOKUP(tbEquipe[[#This Row],[Nome]],tbFOPAG[[Nome]:[Cargo]],2,0),"&lt;Selecionar Nome&gt;")</f>
        <v>&lt;Selecionar Nome&gt;</v>
      </c>
      <c r="E570">
        <f>176*tbEquipe[[#This Row],[Alocação]]</f>
        <v>0</v>
      </c>
      <c r="F570" s="34"/>
      <c r="G5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0" s="1"/>
    </row>
    <row r="571" spans="2:8" hidden="1" x14ac:dyDescent="0.25">
      <c r="B571" s="25" t="str">
        <f>IFERROR(VLOOKUP(tbEquipe[[#This Row],[Nome]],tbFOPAG[[Nome]:[Cargo]],2,0),"&lt;Selecionar Nome&gt;")</f>
        <v>&lt;Selecionar Nome&gt;</v>
      </c>
      <c r="E571">
        <f>176*tbEquipe[[#This Row],[Alocação]]</f>
        <v>0</v>
      </c>
      <c r="F571" s="34"/>
      <c r="G5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1" s="1"/>
    </row>
    <row r="572" spans="2:8" hidden="1" x14ac:dyDescent="0.25">
      <c r="B572" s="25" t="str">
        <f>IFERROR(VLOOKUP(tbEquipe[[#This Row],[Nome]],tbFOPAG[[Nome]:[Cargo]],2,0),"&lt;Selecionar Nome&gt;")</f>
        <v>&lt;Selecionar Nome&gt;</v>
      </c>
      <c r="E572">
        <f>176*tbEquipe[[#This Row],[Alocação]]</f>
        <v>0</v>
      </c>
      <c r="F572" s="34"/>
      <c r="G5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2" s="1"/>
    </row>
    <row r="573" spans="2:8" hidden="1" x14ac:dyDescent="0.25">
      <c r="B573" s="25" t="str">
        <f>IFERROR(VLOOKUP(tbEquipe[[#This Row],[Nome]],tbFOPAG[[Nome]:[Cargo]],2,0),"&lt;Selecionar Nome&gt;")</f>
        <v>&lt;Selecionar Nome&gt;</v>
      </c>
      <c r="E573">
        <f>176*tbEquipe[[#This Row],[Alocação]]</f>
        <v>0</v>
      </c>
      <c r="F573" s="34"/>
      <c r="G5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3" s="1"/>
    </row>
    <row r="574" spans="2:8" hidden="1" x14ac:dyDescent="0.25">
      <c r="B574" s="25" t="str">
        <f>IFERROR(VLOOKUP(tbEquipe[[#This Row],[Nome]],tbFOPAG[[Nome]:[Cargo]],2,0),"&lt;Selecionar Nome&gt;")</f>
        <v>&lt;Selecionar Nome&gt;</v>
      </c>
      <c r="E574">
        <f>176*tbEquipe[[#This Row],[Alocação]]</f>
        <v>0</v>
      </c>
      <c r="F574" s="34"/>
      <c r="G5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4" s="1"/>
    </row>
    <row r="575" spans="2:8" hidden="1" x14ac:dyDescent="0.25">
      <c r="B575" s="25" t="str">
        <f>IFERROR(VLOOKUP(tbEquipe[[#This Row],[Nome]],tbFOPAG[[Nome]:[Cargo]],2,0),"&lt;Selecionar Nome&gt;")</f>
        <v>&lt;Selecionar Nome&gt;</v>
      </c>
      <c r="E575">
        <f>176*tbEquipe[[#This Row],[Alocação]]</f>
        <v>0</v>
      </c>
      <c r="F575" s="34"/>
      <c r="G5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5" s="1"/>
    </row>
    <row r="576" spans="2:8" hidden="1" x14ac:dyDescent="0.25">
      <c r="B576" s="25" t="str">
        <f>IFERROR(VLOOKUP(tbEquipe[[#This Row],[Nome]],tbFOPAG[[Nome]:[Cargo]],2,0),"&lt;Selecionar Nome&gt;")</f>
        <v>&lt;Selecionar Nome&gt;</v>
      </c>
      <c r="E576">
        <f>176*tbEquipe[[#This Row],[Alocação]]</f>
        <v>0</v>
      </c>
      <c r="F576" s="34"/>
      <c r="G5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6" s="1"/>
    </row>
    <row r="577" spans="2:8" hidden="1" x14ac:dyDescent="0.25">
      <c r="B577" s="25" t="str">
        <f>IFERROR(VLOOKUP(tbEquipe[[#This Row],[Nome]],tbFOPAG[[Nome]:[Cargo]],2,0),"&lt;Selecionar Nome&gt;")</f>
        <v>&lt;Selecionar Nome&gt;</v>
      </c>
      <c r="E577">
        <f>176*tbEquipe[[#This Row],[Alocação]]</f>
        <v>0</v>
      </c>
      <c r="F577" s="34"/>
      <c r="G5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7" s="1"/>
    </row>
    <row r="578" spans="2:8" hidden="1" x14ac:dyDescent="0.25">
      <c r="B578" s="25" t="str">
        <f>IFERROR(VLOOKUP(tbEquipe[[#This Row],[Nome]],tbFOPAG[[Nome]:[Cargo]],2,0),"&lt;Selecionar Nome&gt;")</f>
        <v>&lt;Selecionar Nome&gt;</v>
      </c>
      <c r="E578">
        <f>176*tbEquipe[[#This Row],[Alocação]]</f>
        <v>0</v>
      </c>
      <c r="F578" s="34"/>
      <c r="G5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8" s="1"/>
    </row>
    <row r="579" spans="2:8" hidden="1" x14ac:dyDescent="0.25">
      <c r="B579" s="25" t="str">
        <f>IFERROR(VLOOKUP(tbEquipe[[#This Row],[Nome]],tbFOPAG[[Nome]:[Cargo]],2,0),"&lt;Selecionar Nome&gt;")</f>
        <v>&lt;Selecionar Nome&gt;</v>
      </c>
      <c r="E579">
        <f>176*tbEquipe[[#This Row],[Alocação]]</f>
        <v>0</v>
      </c>
      <c r="F579" s="34"/>
      <c r="G5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79" s="1"/>
    </row>
    <row r="580" spans="2:8" hidden="1" x14ac:dyDescent="0.25">
      <c r="B580" s="25" t="str">
        <f>IFERROR(VLOOKUP(tbEquipe[[#This Row],[Nome]],tbFOPAG[[Nome]:[Cargo]],2,0),"&lt;Selecionar Nome&gt;")</f>
        <v>&lt;Selecionar Nome&gt;</v>
      </c>
      <c r="E580">
        <f>176*tbEquipe[[#This Row],[Alocação]]</f>
        <v>0</v>
      </c>
      <c r="F580" s="34"/>
      <c r="G5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0" s="1"/>
    </row>
    <row r="581" spans="2:8" hidden="1" x14ac:dyDescent="0.25">
      <c r="B581" s="25" t="str">
        <f>IFERROR(VLOOKUP(tbEquipe[[#This Row],[Nome]],tbFOPAG[[Nome]:[Cargo]],2,0),"&lt;Selecionar Nome&gt;")</f>
        <v>&lt;Selecionar Nome&gt;</v>
      </c>
      <c r="E581">
        <f>176*tbEquipe[[#This Row],[Alocação]]</f>
        <v>0</v>
      </c>
      <c r="F581" s="34"/>
      <c r="G5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1" s="1"/>
    </row>
    <row r="582" spans="2:8" hidden="1" x14ac:dyDescent="0.25">
      <c r="B582" s="25" t="str">
        <f>IFERROR(VLOOKUP(tbEquipe[[#This Row],[Nome]],tbFOPAG[[Nome]:[Cargo]],2,0),"&lt;Selecionar Nome&gt;")</f>
        <v>&lt;Selecionar Nome&gt;</v>
      </c>
      <c r="E582">
        <f>176*tbEquipe[[#This Row],[Alocação]]</f>
        <v>0</v>
      </c>
      <c r="F582" s="34"/>
      <c r="G5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2" s="1"/>
    </row>
    <row r="583" spans="2:8" hidden="1" x14ac:dyDescent="0.25">
      <c r="B583" s="25" t="str">
        <f>IFERROR(VLOOKUP(tbEquipe[[#This Row],[Nome]],tbFOPAG[[Nome]:[Cargo]],2,0),"&lt;Selecionar Nome&gt;")</f>
        <v>&lt;Selecionar Nome&gt;</v>
      </c>
      <c r="E583">
        <f>176*tbEquipe[[#This Row],[Alocação]]</f>
        <v>0</v>
      </c>
      <c r="F583" s="34"/>
      <c r="G5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3" s="1"/>
    </row>
    <row r="584" spans="2:8" hidden="1" x14ac:dyDescent="0.25">
      <c r="B584" s="25" t="str">
        <f>IFERROR(VLOOKUP(tbEquipe[[#This Row],[Nome]],tbFOPAG[[Nome]:[Cargo]],2,0),"&lt;Selecionar Nome&gt;")</f>
        <v>&lt;Selecionar Nome&gt;</v>
      </c>
      <c r="E584">
        <f>176*tbEquipe[[#This Row],[Alocação]]</f>
        <v>0</v>
      </c>
      <c r="F584" s="34"/>
      <c r="G5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4" s="1"/>
    </row>
    <row r="585" spans="2:8" hidden="1" x14ac:dyDescent="0.25">
      <c r="B585" s="25" t="str">
        <f>IFERROR(VLOOKUP(tbEquipe[[#This Row],[Nome]],tbFOPAG[[Nome]:[Cargo]],2,0),"&lt;Selecionar Nome&gt;")</f>
        <v>&lt;Selecionar Nome&gt;</v>
      </c>
      <c r="E585">
        <f>176*tbEquipe[[#This Row],[Alocação]]</f>
        <v>0</v>
      </c>
      <c r="F585" s="34"/>
      <c r="G5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5" s="1"/>
    </row>
    <row r="586" spans="2:8" hidden="1" x14ac:dyDescent="0.25">
      <c r="B586" s="25" t="str">
        <f>IFERROR(VLOOKUP(tbEquipe[[#This Row],[Nome]],tbFOPAG[[Nome]:[Cargo]],2,0),"&lt;Selecionar Nome&gt;")</f>
        <v>&lt;Selecionar Nome&gt;</v>
      </c>
      <c r="E586">
        <f>176*tbEquipe[[#This Row],[Alocação]]</f>
        <v>0</v>
      </c>
      <c r="F586" s="34"/>
      <c r="G5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6" s="1"/>
    </row>
    <row r="587" spans="2:8" hidden="1" x14ac:dyDescent="0.25">
      <c r="B587" s="25" t="str">
        <f>IFERROR(VLOOKUP(tbEquipe[[#This Row],[Nome]],tbFOPAG[[Nome]:[Cargo]],2,0),"&lt;Selecionar Nome&gt;")</f>
        <v>&lt;Selecionar Nome&gt;</v>
      </c>
      <c r="E587">
        <f>176*tbEquipe[[#This Row],[Alocação]]</f>
        <v>0</v>
      </c>
      <c r="F587" s="34"/>
      <c r="G5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7" s="1"/>
    </row>
    <row r="588" spans="2:8" hidden="1" x14ac:dyDescent="0.25">
      <c r="B588" s="25" t="str">
        <f>IFERROR(VLOOKUP(tbEquipe[[#This Row],[Nome]],tbFOPAG[[Nome]:[Cargo]],2,0),"&lt;Selecionar Nome&gt;")</f>
        <v>&lt;Selecionar Nome&gt;</v>
      </c>
      <c r="E588">
        <f>176*tbEquipe[[#This Row],[Alocação]]</f>
        <v>0</v>
      </c>
      <c r="F588" s="34"/>
      <c r="G5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8" s="1"/>
    </row>
    <row r="589" spans="2:8" hidden="1" x14ac:dyDescent="0.25">
      <c r="B589" s="25" t="str">
        <f>IFERROR(VLOOKUP(tbEquipe[[#This Row],[Nome]],tbFOPAG[[Nome]:[Cargo]],2,0),"&lt;Selecionar Nome&gt;")</f>
        <v>&lt;Selecionar Nome&gt;</v>
      </c>
      <c r="E589">
        <f>176*tbEquipe[[#This Row],[Alocação]]</f>
        <v>0</v>
      </c>
      <c r="F589" s="34"/>
      <c r="G5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89" s="1"/>
    </row>
    <row r="590" spans="2:8" hidden="1" x14ac:dyDescent="0.25">
      <c r="B590" s="25" t="str">
        <f>IFERROR(VLOOKUP(tbEquipe[[#This Row],[Nome]],tbFOPAG[[Nome]:[Cargo]],2,0),"&lt;Selecionar Nome&gt;")</f>
        <v>&lt;Selecionar Nome&gt;</v>
      </c>
      <c r="E590">
        <f>176*tbEquipe[[#This Row],[Alocação]]</f>
        <v>0</v>
      </c>
      <c r="F590" s="34"/>
      <c r="G5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0" s="1"/>
    </row>
    <row r="591" spans="2:8" hidden="1" x14ac:dyDescent="0.25">
      <c r="B591" s="25" t="str">
        <f>IFERROR(VLOOKUP(tbEquipe[[#This Row],[Nome]],tbFOPAG[[Nome]:[Cargo]],2,0),"&lt;Selecionar Nome&gt;")</f>
        <v>&lt;Selecionar Nome&gt;</v>
      </c>
      <c r="E591">
        <f>176*tbEquipe[[#This Row],[Alocação]]</f>
        <v>0</v>
      </c>
      <c r="F591" s="34"/>
      <c r="G5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1" s="1"/>
    </row>
    <row r="592" spans="2:8" hidden="1" x14ac:dyDescent="0.25">
      <c r="B592" s="25" t="str">
        <f>IFERROR(VLOOKUP(tbEquipe[[#This Row],[Nome]],tbFOPAG[[Nome]:[Cargo]],2,0),"&lt;Selecionar Nome&gt;")</f>
        <v>&lt;Selecionar Nome&gt;</v>
      </c>
      <c r="E592">
        <f>176*tbEquipe[[#This Row],[Alocação]]</f>
        <v>0</v>
      </c>
      <c r="F592" s="34"/>
      <c r="G5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2" s="1"/>
    </row>
    <row r="593" spans="2:8" hidden="1" x14ac:dyDescent="0.25">
      <c r="B593" s="25" t="str">
        <f>IFERROR(VLOOKUP(tbEquipe[[#This Row],[Nome]],tbFOPAG[[Nome]:[Cargo]],2,0),"&lt;Selecionar Nome&gt;")</f>
        <v>&lt;Selecionar Nome&gt;</v>
      </c>
      <c r="E593">
        <f>176*tbEquipe[[#This Row],[Alocação]]</f>
        <v>0</v>
      </c>
      <c r="F593" s="34"/>
      <c r="G5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3" s="1"/>
    </row>
    <row r="594" spans="2:8" hidden="1" x14ac:dyDescent="0.25">
      <c r="B594" s="25" t="str">
        <f>IFERROR(VLOOKUP(tbEquipe[[#This Row],[Nome]],tbFOPAG[[Nome]:[Cargo]],2,0),"&lt;Selecionar Nome&gt;")</f>
        <v>&lt;Selecionar Nome&gt;</v>
      </c>
      <c r="E594">
        <f>176*tbEquipe[[#This Row],[Alocação]]</f>
        <v>0</v>
      </c>
      <c r="F594" s="34"/>
      <c r="G5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4" s="1"/>
    </row>
    <row r="595" spans="2:8" hidden="1" x14ac:dyDescent="0.25">
      <c r="B595" s="25" t="str">
        <f>IFERROR(VLOOKUP(tbEquipe[[#This Row],[Nome]],tbFOPAG[[Nome]:[Cargo]],2,0),"&lt;Selecionar Nome&gt;")</f>
        <v>&lt;Selecionar Nome&gt;</v>
      </c>
      <c r="E595">
        <f>176*tbEquipe[[#This Row],[Alocação]]</f>
        <v>0</v>
      </c>
      <c r="F595" s="34"/>
      <c r="G5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5" s="1"/>
    </row>
    <row r="596" spans="2:8" hidden="1" x14ac:dyDescent="0.25">
      <c r="B596" s="25" t="str">
        <f>IFERROR(VLOOKUP(tbEquipe[[#This Row],[Nome]],tbFOPAG[[Nome]:[Cargo]],2,0),"&lt;Selecionar Nome&gt;")</f>
        <v>&lt;Selecionar Nome&gt;</v>
      </c>
      <c r="E596">
        <f>176*tbEquipe[[#This Row],[Alocação]]</f>
        <v>0</v>
      </c>
      <c r="F596" s="34"/>
      <c r="G5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6" s="1"/>
    </row>
    <row r="597" spans="2:8" hidden="1" x14ac:dyDescent="0.25">
      <c r="B597" s="25" t="str">
        <f>IFERROR(VLOOKUP(tbEquipe[[#This Row],[Nome]],tbFOPAG[[Nome]:[Cargo]],2,0),"&lt;Selecionar Nome&gt;")</f>
        <v>&lt;Selecionar Nome&gt;</v>
      </c>
      <c r="E597">
        <f>176*tbEquipe[[#This Row],[Alocação]]</f>
        <v>0</v>
      </c>
      <c r="F597" s="34"/>
      <c r="G5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7" s="1"/>
    </row>
    <row r="598" spans="2:8" hidden="1" x14ac:dyDescent="0.25">
      <c r="B598" s="25" t="str">
        <f>IFERROR(VLOOKUP(tbEquipe[[#This Row],[Nome]],tbFOPAG[[Nome]:[Cargo]],2,0),"&lt;Selecionar Nome&gt;")</f>
        <v>&lt;Selecionar Nome&gt;</v>
      </c>
      <c r="E598">
        <f>176*tbEquipe[[#This Row],[Alocação]]</f>
        <v>0</v>
      </c>
      <c r="F598" s="34"/>
      <c r="G5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8" s="1"/>
    </row>
    <row r="599" spans="2:8" hidden="1" x14ac:dyDescent="0.25">
      <c r="B599" s="25" t="str">
        <f>IFERROR(VLOOKUP(tbEquipe[[#This Row],[Nome]],tbFOPAG[[Nome]:[Cargo]],2,0),"&lt;Selecionar Nome&gt;")</f>
        <v>&lt;Selecionar Nome&gt;</v>
      </c>
      <c r="E599">
        <f>176*tbEquipe[[#This Row],[Alocação]]</f>
        <v>0</v>
      </c>
      <c r="F599" s="34"/>
      <c r="G5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599" s="1"/>
    </row>
    <row r="600" spans="2:8" hidden="1" x14ac:dyDescent="0.25">
      <c r="B600" s="25" t="str">
        <f>IFERROR(VLOOKUP(tbEquipe[[#This Row],[Nome]],tbFOPAG[[Nome]:[Cargo]],2,0),"&lt;Selecionar Nome&gt;")</f>
        <v>&lt;Selecionar Nome&gt;</v>
      </c>
      <c r="E600">
        <f>176*tbEquipe[[#This Row],[Alocação]]</f>
        <v>0</v>
      </c>
      <c r="F600" s="34"/>
      <c r="G6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0" s="1"/>
    </row>
    <row r="601" spans="2:8" hidden="1" x14ac:dyDescent="0.25">
      <c r="B601" s="25" t="str">
        <f>IFERROR(VLOOKUP(tbEquipe[[#This Row],[Nome]],tbFOPAG[[Nome]:[Cargo]],2,0),"&lt;Selecionar Nome&gt;")</f>
        <v>&lt;Selecionar Nome&gt;</v>
      </c>
      <c r="E601">
        <f>176*tbEquipe[[#This Row],[Alocação]]</f>
        <v>0</v>
      </c>
      <c r="F601" s="34"/>
      <c r="G6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1" s="1"/>
    </row>
    <row r="602" spans="2:8" hidden="1" x14ac:dyDescent="0.25">
      <c r="B602" s="25" t="str">
        <f>IFERROR(VLOOKUP(tbEquipe[[#This Row],[Nome]],tbFOPAG[[Nome]:[Cargo]],2,0),"&lt;Selecionar Nome&gt;")</f>
        <v>&lt;Selecionar Nome&gt;</v>
      </c>
      <c r="E602">
        <f>176*tbEquipe[[#This Row],[Alocação]]</f>
        <v>0</v>
      </c>
      <c r="F602" s="34"/>
      <c r="G6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2" s="1"/>
    </row>
    <row r="603" spans="2:8" hidden="1" x14ac:dyDescent="0.25">
      <c r="B603" s="25" t="str">
        <f>IFERROR(VLOOKUP(tbEquipe[[#This Row],[Nome]],tbFOPAG[[Nome]:[Cargo]],2,0),"&lt;Selecionar Nome&gt;")</f>
        <v>&lt;Selecionar Nome&gt;</v>
      </c>
      <c r="E603">
        <f>176*tbEquipe[[#This Row],[Alocação]]</f>
        <v>0</v>
      </c>
      <c r="F603" s="34"/>
      <c r="G6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3" s="1"/>
    </row>
    <row r="604" spans="2:8" hidden="1" x14ac:dyDescent="0.25">
      <c r="B604" s="25" t="str">
        <f>IFERROR(VLOOKUP(tbEquipe[[#This Row],[Nome]],tbFOPAG[[Nome]:[Cargo]],2,0),"&lt;Selecionar Nome&gt;")</f>
        <v>&lt;Selecionar Nome&gt;</v>
      </c>
      <c r="E604">
        <f>176*tbEquipe[[#This Row],[Alocação]]</f>
        <v>0</v>
      </c>
      <c r="F604" s="34"/>
      <c r="G6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4" s="1"/>
    </row>
    <row r="605" spans="2:8" hidden="1" x14ac:dyDescent="0.25">
      <c r="B605" s="25" t="str">
        <f>IFERROR(VLOOKUP(tbEquipe[[#This Row],[Nome]],tbFOPAG[[Nome]:[Cargo]],2,0),"&lt;Selecionar Nome&gt;")</f>
        <v>&lt;Selecionar Nome&gt;</v>
      </c>
      <c r="E605">
        <f>176*tbEquipe[[#This Row],[Alocação]]</f>
        <v>0</v>
      </c>
      <c r="F605" s="34"/>
      <c r="G6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5" s="1"/>
    </row>
    <row r="606" spans="2:8" hidden="1" x14ac:dyDescent="0.25">
      <c r="B606" s="25" t="str">
        <f>IFERROR(VLOOKUP(tbEquipe[[#This Row],[Nome]],tbFOPAG[[Nome]:[Cargo]],2,0),"&lt;Selecionar Nome&gt;")</f>
        <v>&lt;Selecionar Nome&gt;</v>
      </c>
      <c r="E606">
        <f>176*tbEquipe[[#This Row],[Alocação]]</f>
        <v>0</v>
      </c>
      <c r="F606" s="34"/>
      <c r="G6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6" s="1"/>
    </row>
    <row r="607" spans="2:8" hidden="1" x14ac:dyDescent="0.25">
      <c r="B607" s="25" t="str">
        <f>IFERROR(VLOOKUP(tbEquipe[[#This Row],[Nome]],tbFOPAG[[Nome]:[Cargo]],2,0),"&lt;Selecionar Nome&gt;")</f>
        <v>&lt;Selecionar Nome&gt;</v>
      </c>
      <c r="E607">
        <f>176*tbEquipe[[#This Row],[Alocação]]</f>
        <v>0</v>
      </c>
      <c r="F607" s="34"/>
      <c r="G6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7" s="1"/>
    </row>
    <row r="608" spans="2:8" hidden="1" x14ac:dyDescent="0.25">
      <c r="B608" s="25" t="str">
        <f>IFERROR(VLOOKUP(tbEquipe[[#This Row],[Nome]],tbFOPAG[[Nome]:[Cargo]],2,0),"&lt;Selecionar Nome&gt;")</f>
        <v>&lt;Selecionar Nome&gt;</v>
      </c>
      <c r="E608">
        <f>176*tbEquipe[[#This Row],[Alocação]]</f>
        <v>0</v>
      </c>
      <c r="F608" s="34"/>
      <c r="G6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8" s="1"/>
    </row>
    <row r="609" spans="2:8" hidden="1" x14ac:dyDescent="0.25">
      <c r="B609" s="25" t="str">
        <f>IFERROR(VLOOKUP(tbEquipe[[#This Row],[Nome]],tbFOPAG[[Nome]:[Cargo]],2,0),"&lt;Selecionar Nome&gt;")</f>
        <v>&lt;Selecionar Nome&gt;</v>
      </c>
      <c r="E609">
        <f>176*tbEquipe[[#This Row],[Alocação]]</f>
        <v>0</v>
      </c>
      <c r="F609" s="34"/>
      <c r="G6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09" s="1"/>
    </row>
    <row r="610" spans="2:8" hidden="1" x14ac:dyDescent="0.25">
      <c r="B610" s="25" t="str">
        <f>IFERROR(VLOOKUP(tbEquipe[[#This Row],[Nome]],tbFOPAG[[Nome]:[Cargo]],2,0),"&lt;Selecionar Nome&gt;")</f>
        <v>&lt;Selecionar Nome&gt;</v>
      </c>
      <c r="E610">
        <f>176*tbEquipe[[#This Row],[Alocação]]</f>
        <v>0</v>
      </c>
      <c r="F610" s="34"/>
      <c r="G6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0" s="1"/>
    </row>
    <row r="611" spans="2:8" hidden="1" x14ac:dyDescent="0.25">
      <c r="B611" s="25" t="str">
        <f>IFERROR(VLOOKUP(tbEquipe[[#This Row],[Nome]],tbFOPAG[[Nome]:[Cargo]],2,0),"&lt;Selecionar Nome&gt;")</f>
        <v>&lt;Selecionar Nome&gt;</v>
      </c>
      <c r="E611">
        <f>176*tbEquipe[[#This Row],[Alocação]]</f>
        <v>0</v>
      </c>
      <c r="F611" s="34"/>
      <c r="G6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1" s="1"/>
    </row>
    <row r="612" spans="2:8" hidden="1" x14ac:dyDescent="0.25">
      <c r="B612" s="25" t="str">
        <f>IFERROR(VLOOKUP(tbEquipe[[#This Row],[Nome]],tbFOPAG[[Nome]:[Cargo]],2,0),"&lt;Selecionar Nome&gt;")</f>
        <v>&lt;Selecionar Nome&gt;</v>
      </c>
      <c r="E612">
        <f>176*tbEquipe[[#This Row],[Alocação]]</f>
        <v>0</v>
      </c>
      <c r="F612" s="34"/>
      <c r="G6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2" s="1"/>
    </row>
    <row r="613" spans="2:8" hidden="1" x14ac:dyDescent="0.25">
      <c r="B613" s="25" t="str">
        <f>IFERROR(VLOOKUP(tbEquipe[[#This Row],[Nome]],tbFOPAG[[Nome]:[Cargo]],2,0),"&lt;Selecionar Nome&gt;")</f>
        <v>&lt;Selecionar Nome&gt;</v>
      </c>
      <c r="E613">
        <f>176*tbEquipe[[#This Row],[Alocação]]</f>
        <v>0</v>
      </c>
      <c r="F613" s="34"/>
      <c r="G6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3" s="1"/>
    </row>
    <row r="614" spans="2:8" hidden="1" x14ac:dyDescent="0.25">
      <c r="B614" s="25" t="str">
        <f>IFERROR(VLOOKUP(tbEquipe[[#This Row],[Nome]],tbFOPAG[[Nome]:[Cargo]],2,0),"&lt;Selecionar Nome&gt;")</f>
        <v>&lt;Selecionar Nome&gt;</v>
      </c>
      <c r="E614">
        <f>176*tbEquipe[[#This Row],[Alocação]]</f>
        <v>0</v>
      </c>
      <c r="F614" s="34"/>
      <c r="G6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4" s="1"/>
    </row>
    <row r="615" spans="2:8" hidden="1" x14ac:dyDescent="0.25">
      <c r="B615" s="25" t="str">
        <f>IFERROR(VLOOKUP(tbEquipe[[#This Row],[Nome]],tbFOPAG[[Nome]:[Cargo]],2,0),"&lt;Selecionar Nome&gt;")</f>
        <v>&lt;Selecionar Nome&gt;</v>
      </c>
      <c r="E615">
        <f>176*tbEquipe[[#This Row],[Alocação]]</f>
        <v>0</v>
      </c>
      <c r="F615" s="34"/>
      <c r="G6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5" s="1"/>
    </row>
    <row r="616" spans="2:8" hidden="1" x14ac:dyDescent="0.25">
      <c r="B616" s="25" t="str">
        <f>IFERROR(VLOOKUP(tbEquipe[[#This Row],[Nome]],tbFOPAG[[Nome]:[Cargo]],2,0),"&lt;Selecionar Nome&gt;")</f>
        <v>&lt;Selecionar Nome&gt;</v>
      </c>
      <c r="E616">
        <f>176*tbEquipe[[#This Row],[Alocação]]</f>
        <v>0</v>
      </c>
      <c r="F616" s="34"/>
      <c r="G6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6" s="1"/>
    </row>
    <row r="617" spans="2:8" hidden="1" x14ac:dyDescent="0.25">
      <c r="B617" s="25" t="str">
        <f>IFERROR(VLOOKUP(tbEquipe[[#This Row],[Nome]],tbFOPAG[[Nome]:[Cargo]],2,0),"&lt;Selecionar Nome&gt;")</f>
        <v>&lt;Selecionar Nome&gt;</v>
      </c>
      <c r="E617">
        <f>176*tbEquipe[[#This Row],[Alocação]]</f>
        <v>0</v>
      </c>
      <c r="F617" s="34"/>
      <c r="G6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7" s="1"/>
    </row>
    <row r="618" spans="2:8" hidden="1" x14ac:dyDescent="0.25">
      <c r="B618" s="25" t="str">
        <f>IFERROR(VLOOKUP(tbEquipe[[#This Row],[Nome]],tbFOPAG[[Nome]:[Cargo]],2,0),"&lt;Selecionar Nome&gt;")</f>
        <v>&lt;Selecionar Nome&gt;</v>
      </c>
      <c r="E618">
        <f>176*tbEquipe[[#This Row],[Alocação]]</f>
        <v>0</v>
      </c>
      <c r="F618" s="34"/>
      <c r="G6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8" s="1"/>
    </row>
    <row r="619" spans="2:8" hidden="1" x14ac:dyDescent="0.25">
      <c r="B619" s="25" t="str">
        <f>IFERROR(VLOOKUP(tbEquipe[[#This Row],[Nome]],tbFOPAG[[Nome]:[Cargo]],2,0),"&lt;Selecionar Nome&gt;")</f>
        <v>&lt;Selecionar Nome&gt;</v>
      </c>
      <c r="E619">
        <f>176*tbEquipe[[#This Row],[Alocação]]</f>
        <v>0</v>
      </c>
      <c r="F619" s="34"/>
      <c r="G6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19" s="1"/>
    </row>
    <row r="620" spans="2:8" hidden="1" x14ac:dyDescent="0.25">
      <c r="B620" s="25" t="str">
        <f>IFERROR(VLOOKUP(tbEquipe[[#This Row],[Nome]],tbFOPAG[[Nome]:[Cargo]],2,0),"&lt;Selecionar Nome&gt;")</f>
        <v>&lt;Selecionar Nome&gt;</v>
      </c>
      <c r="E620">
        <f>176*tbEquipe[[#This Row],[Alocação]]</f>
        <v>0</v>
      </c>
      <c r="F620" s="34"/>
      <c r="G6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0" s="1"/>
    </row>
    <row r="621" spans="2:8" hidden="1" x14ac:dyDescent="0.25">
      <c r="B621" s="25" t="str">
        <f>IFERROR(VLOOKUP(tbEquipe[[#This Row],[Nome]],tbFOPAG[[Nome]:[Cargo]],2,0),"&lt;Selecionar Nome&gt;")</f>
        <v>&lt;Selecionar Nome&gt;</v>
      </c>
      <c r="E621">
        <f>176*tbEquipe[[#This Row],[Alocação]]</f>
        <v>0</v>
      </c>
      <c r="F621" s="34"/>
      <c r="G6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1" s="1"/>
    </row>
    <row r="622" spans="2:8" hidden="1" x14ac:dyDescent="0.25">
      <c r="B622" s="25" t="str">
        <f>IFERROR(VLOOKUP(tbEquipe[[#This Row],[Nome]],tbFOPAG[[Nome]:[Cargo]],2,0),"&lt;Selecionar Nome&gt;")</f>
        <v>&lt;Selecionar Nome&gt;</v>
      </c>
      <c r="E622">
        <f>176*tbEquipe[[#This Row],[Alocação]]</f>
        <v>0</v>
      </c>
      <c r="F622" s="34"/>
      <c r="G6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2" s="1"/>
    </row>
    <row r="623" spans="2:8" hidden="1" x14ac:dyDescent="0.25">
      <c r="B623" s="25" t="str">
        <f>IFERROR(VLOOKUP(tbEquipe[[#This Row],[Nome]],tbFOPAG[[Nome]:[Cargo]],2,0),"&lt;Selecionar Nome&gt;")</f>
        <v>&lt;Selecionar Nome&gt;</v>
      </c>
      <c r="E623">
        <f>176*tbEquipe[[#This Row],[Alocação]]</f>
        <v>0</v>
      </c>
      <c r="F623" s="34"/>
      <c r="G6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3" s="1"/>
    </row>
    <row r="624" spans="2:8" hidden="1" x14ac:dyDescent="0.25">
      <c r="B624" s="25" t="str">
        <f>IFERROR(VLOOKUP(tbEquipe[[#This Row],[Nome]],tbFOPAG[[Nome]:[Cargo]],2,0),"&lt;Selecionar Nome&gt;")</f>
        <v>&lt;Selecionar Nome&gt;</v>
      </c>
      <c r="E624">
        <f>176*tbEquipe[[#This Row],[Alocação]]</f>
        <v>0</v>
      </c>
      <c r="F624" s="34"/>
      <c r="G6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4" s="1"/>
    </row>
    <row r="625" spans="2:8" hidden="1" x14ac:dyDescent="0.25">
      <c r="B625" s="25" t="str">
        <f>IFERROR(VLOOKUP(tbEquipe[[#This Row],[Nome]],tbFOPAG[[Nome]:[Cargo]],2,0),"&lt;Selecionar Nome&gt;")</f>
        <v>&lt;Selecionar Nome&gt;</v>
      </c>
      <c r="E625">
        <f>176*tbEquipe[[#This Row],[Alocação]]</f>
        <v>0</v>
      </c>
      <c r="F625" s="34"/>
      <c r="G6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5" s="1"/>
    </row>
    <row r="626" spans="2:8" hidden="1" x14ac:dyDescent="0.25">
      <c r="B626" s="25" t="str">
        <f>IFERROR(VLOOKUP(tbEquipe[[#This Row],[Nome]],tbFOPAG[[Nome]:[Cargo]],2,0),"&lt;Selecionar Nome&gt;")</f>
        <v>&lt;Selecionar Nome&gt;</v>
      </c>
      <c r="E626">
        <f>176*tbEquipe[[#This Row],[Alocação]]</f>
        <v>0</v>
      </c>
      <c r="F626" s="34"/>
      <c r="G6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6" s="1"/>
    </row>
    <row r="627" spans="2:8" hidden="1" x14ac:dyDescent="0.25">
      <c r="B627" s="25" t="str">
        <f>IFERROR(VLOOKUP(tbEquipe[[#This Row],[Nome]],tbFOPAG[[Nome]:[Cargo]],2,0),"&lt;Selecionar Nome&gt;")</f>
        <v>&lt;Selecionar Nome&gt;</v>
      </c>
      <c r="E627">
        <f>176*tbEquipe[[#This Row],[Alocação]]</f>
        <v>0</v>
      </c>
      <c r="F627" s="34"/>
      <c r="G6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7" s="1"/>
    </row>
    <row r="628" spans="2:8" hidden="1" x14ac:dyDescent="0.25">
      <c r="B628" s="25" t="str">
        <f>IFERROR(VLOOKUP(tbEquipe[[#This Row],[Nome]],tbFOPAG[[Nome]:[Cargo]],2,0),"&lt;Selecionar Nome&gt;")</f>
        <v>&lt;Selecionar Nome&gt;</v>
      </c>
      <c r="E628">
        <f>176*tbEquipe[[#This Row],[Alocação]]</f>
        <v>0</v>
      </c>
      <c r="F628" s="34"/>
      <c r="G6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8" s="1"/>
    </row>
    <row r="629" spans="2:8" hidden="1" x14ac:dyDescent="0.25">
      <c r="B629" s="25" t="str">
        <f>IFERROR(VLOOKUP(tbEquipe[[#This Row],[Nome]],tbFOPAG[[Nome]:[Cargo]],2,0),"&lt;Selecionar Nome&gt;")</f>
        <v>&lt;Selecionar Nome&gt;</v>
      </c>
      <c r="E629">
        <f>176*tbEquipe[[#This Row],[Alocação]]</f>
        <v>0</v>
      </c>
      <c r="F629" s="34"/>
      <c r="G6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29" s="1"/>
    </row>
    <row r="630" spans="2:8" hidden="1" x14ac:dyDescent="0.25">
      <c r="B630" s="25" t="str">
        <f>IFERROR(VLOOKUP(tbEquipe[[#This Row],[Nome]],tbFOPAG[[Nome]:[Cargo]],2,0),"&lt;Selecionar Nome&gt;")</f>
        <v>&lt;Selecionar Nome&gt;</v>
      </c>
      <c r="E630">
        <f>176*tbEquipe[[#This Row],[Alocação]]</f>
        <v>0</v>
      </c>
      <c r="F630" s="34"/>
      <c r="G6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0" s="1"/>
    </row>
    <row r="631" spans="2:8" hidden="1" x14ac:dyDescent="0.25">
      <c r="B631" s="25" t="str">
        <f>IFERROR(VLOOKUP(tbEquipe[[#This Row],[Nome]],tbFOPAG[[Nome]:[Cargo]],2,0),"&lt;Selecionar Nome&gt;")</f>
        <v>&lt;Selecionar Nome&gt;</v>
      </c>
      <c r="E631">
        <f>176*tbEquipe[[#This Row],[Alocação]]</f>
        <v>0</v>
      </c>
      <c r="F631" s="34"/>
      <c r="G6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1" s="1"/>
    </row>
    <row r="632" spans="2:8" hidden="1" x14ac:dyDescent="0.25">
      <c r="B632" s="25" t="str">
        <f>IFERROR(VLOOKUP(tbEquipe[[#This Row],[Nome]],tbFOPAG[[Nome]:[Cargo]],2,0),"&lt;Selecionar Nome&gt;")</f>
        <v>&lt;Selecionar Nome&gt;</v>
      </c>
      <c r="E632">
        <f>176*tbEquipe[[#This Row],[Alocação]]</f>
        <v>0</v>
      </c>
      <c r="F632" s="34"/>
      <c r="G6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2" s="1"/>
    </row>
    <row r="633" spans="2:8" hidden="1" x14ac:dyDescent="0.25">
      <c r="B633" s="25" t="str">
        <f>IFERROR(VLOOKUP(tbEquipe[[#This Row],[Nome]],tbFOPAG[[Nome]:[Cargo]],2,0),"&lt;Selecionar Nome&gt;")</f>
        <v>&lt;Selecionar Nome&gt;</v>
      </c>
      <c r="E633">
        <f>176*tbEquipe[[#This Row],[Alocação]]</f>
        <v>0</v>
      </c>
      <c r="F633" s="34"/>
      <c r="G6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3" s="1"/>
    </row>
    <row r="634" spans="2:8" hidden="1" x14ac:dyDescent="0.25">
      <c r="B634" s="25" t="str">
        <f>IFERROR(VLOOKUP(tbEquipe[[#This Row],[Nome]],tbFOPAG[[Nome]:[Cargo]],2,0),"&lt;Selecionar Nome&gt;")</f>
        <v>&lt;Selecionar Nome&gt;</v>
      </c>
      <c r="E634">
        <f>176*tbEquipe[[#This Row],[Alocação]]</f>
        <v>0</v>
      </c>
      <c r="F634" s="34"/>
      <c r="G6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4" s="1"/>
    </row>
    <row r="635" spans="2:8" hidden="1" x14ac:dyDescent="0.25">
      <c r="B635" s="25" t="str">
        <f>IFERROR(VLOOKUP(tbEquipe[[#This Row],[Nome]],tbFOPAG[[Nome]:[Cargo]],2,0),"&lt;Selecionar Nome&gt;")</f>
        <v>&lt;Selecionar Nome&gt;</v>
      </c>
      <c r="E635">
        <f>176*tbEquipe[[#This Row],[Alocação]]</f>
        <v>0</v>
      </c>
      <c r="F635" s="34"/>
      <c r="G6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5" s="1"/>
    </row>
    <row r="636" spans="2:8" hidden="1" x14ac:dyDescent="0.25">
      <c r="B636" s="25" t="str">
        <f>IFERROR(VLOOKUP(tbEquipe[[#This Row],[Nome]],tbFOPAG[[Nome]:[Cargo]],2,0),"&lt;Selecionar Nome&gt;")</f>
        <v>&lt;Selecionar Nome&gt;</v>
      </c>
      <c r="E636">
        <f>176*tbEquipe[[#This Row],[Alocação]]</f>
        <v>0</v>
      </c>
      <c r="F636" s="34"/>
      <c r="G6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6" s="1"/>
    </row>
    <row r="637" spans="2:8" hidden="1" x14ac:dyDescent="0.25">
      <c r="B637" s="25" t="str">
        <f>IFERROR(VLOOKUP(tbEquipe[[#This Row],[Nome]],tbFOPAG[[Nome]:[Cargo]],2,0),"&lt;Selecionar Nome&gt;")</f>
        <v>&lt;Selecionar Nome&gt;</v>
      </c>
      <c r="E637">
        <f>176*tbEquipe[[#This Row],[Alocação]]</f>
        <v>0</v>
      </c>
      <c r="F637" s="34"/>
      <c r="G6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7" s="1"/>
    </row>
    <row r="638" spans="2:8" hidden="1" x14ac:dyDescent="0.25">
      <c r="B638" s="25" t="str">
        <f>IFERROR(VLOOKUP(tbEquipe[[#This Row],[Nome]],tbFOPAG[[Nome]:[Cargo]],2,0),"&lt;Selecionar Nome&gt;")</f>
        <v>&lt;Selecionar Nome&gt;</v>
      </c>
      <c r="E638">
        <f>176*tbEquipe[[#This Row],[Alocação]]</f>
        <v>0</v>
      </c>
      <c r="F638" s="34"/>
      <c r="G6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8" s="1"/>
    </row>
    <row r="639" spans="2:8" hidden="1" x14ac:dyDescent="0.25">
      <c r="B639" s="25" t="str">
        <f>IFERROR(VLOOKUP(tbEquipe[[#This Row],[Nome]],tbFOPAG[[Nome]:[Cargo]],2,0),"&lt;Selecionar Nome&gt;")</f>
        <v>&lt;Selecionar Nome&gt;</v>
      </c>
      <c r="E639">
        <f>176*tbEquipe[[#This Row],[Alocação]]</f>
        <v>0</v>
      </c>
      <c r="F639" s="34"/>
      <c r="G6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39" s="1"/>
    </row>
    <row r="640" spans="2:8" hidden="1" x14ac:dyDescent="0.25">
      <c r="B640" s="25" t="str">
        <f>IFERROR(VLOOKUP(tbEquipe[[#This Row],[Nome]],tbFOPAG[[Nome]:[Cargo]],2,0),"&lt;Selecionar Nome&gt;")</f>
        <v>&lt;Selecionar Nome&gt;</v>
      </c>
      <c r="E640">
        <f>176*tbEquipe[[#This Row],[Alocação]]</f>
        <v>0</v>
      </c>
      <c r="F640" s="34"/>
      <c r="G6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0" s="1"/>
    </row>
    <row r="641" spans="2:8" hidden="1" x14ac:dyDescent="0.25">
      <c r="B641" s="25" t="str">
        <f>IFERROR(VLOOKUP(tbEquipe[[#This Row],[Nome]],tbFOPAG[[Nome]:[Cargo]],2,0),"&lt;Selecionar Nome&gt;")</f>
        <v>&lt;Selecionar Nome&gt;</v>
      </c>
      <c r="E641">
        <f>176*tbEquipe[[#This Row],[Alocação]]</f>
        <v>0</v>
      </c>
      <c r="F641" s="34"/>
      <c r="G6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1" s="1"/>
    </row>
    <row r="642" spans="2:8" hidden="1" x14ac:dyDescent="0.25">
      <c r="B642" s="25" t="str">
        <f>IFERROR(VLOOKUP(tbEquipe[[#This Row],[Nome]],tbFOPAG[[Nome]:[Cargo]],2,0),"&lt;Selecionar Nome&gt;")</f>
        <v>&lt;Selecionar Nome&gt;</v>
      </c>
      <c r="E642">
        <f>176*tbEquipe[[#This Row],[Alocação]]</f>
        <v>0</v>
      </c>
      <c r="F642" s="34"/>
      <c r="G6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2" s="1"/>
    </row>
    <row r="643" spans="2:8" hidden="1" x14ac:dyDescent="0.25">
      <c r="B643" s="25" t="str">
        <f>IFERROR(VLOOKUP(tbEquipe[[#This Row],[Nome]],tbFOPAG[[Nome]:[Cargo]],2,0),"&lt;Selecionar Nome&gt;")</f>
        <v>&lt;Selecionar Nome&gt;</v>
      </c>
      <c r="E643">
        <f>176*tbEquipe[[#This Row],[Alocação]]</f>
        <v>0</v>
      </c>
      <c r="F643" s="34"/>
      <c r="G6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3" s="1"/>
    </row>
    <row r="644" spans="2:8" hidden="1" x14ac:dyDescent="0.25">
      <c r="B644" s="25" t="str">
        <f>IFERROR(VLOOKUP(tbEquipe[[#This Row],[Nome]],tbFOPAG[[Nome]:[Cargo]],2,0),"&lt;Selecionar Nome&gt;")</f>
        <v>&lt;Selecionar Nome&gt;</v>
      </c>
      <c r="E644">
        <f>176*tbEquipe[[#This Row],[Alocação]]</f>
        <v>0</v>
      </c>
      <c r="F644" s="34"/>
      <c r="G6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4" s="1"/>
    </row>
    <row r="645" spans="2:8" hidden="1" x14ac:dyDescent="0.25">
      <c r="B645" s="25" t="str">
        <f>IFERROR(VLOOKUP(tbEquipe[[#This Row],[Nome]],tbFOPAG[[Nome]:[Cargo]],2,0),"&lt;Selecionar Nome&gt;")</f>
        <v>&lt;Selecionar Nome&gt;</v>
      </c>
      <c r="E645">
        <f>176*tbEquipe[[#This Row],[Alocação]]</f>
        <v>0</v>
      </c>
      <c r="F645" s="34"/>
      <c r="G6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5" s="1"/>
    </row>
    <row r="646" spans="2:8" hidden="1" x14ac:dyDescent="0.25">
      <c r="B646" s="25" t="str">
        <f>IFERROR(VLOOKUP(tbEquipe[[#This Row],[Nome]],tbFOPAG[[Nome]:[Cargo]],2,0),"&lt;Selecionar Nome&gt;")</f>
        <v>&lt;Selecionar Nome&gt;</v>
      </c>
      <c r="E646">
        <f>176*tbEquipe[[#This Row],[Alocação]]</f>
        <v>0</v>
      </c>
      <c r="F646" s="34"/>
      <c r="G6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6" s="1"/>
    </row>
    <row r="647" spans="2:8" hidden="1" x14ac:dyDescent="0.25">
      <c r="B647" s="25" t="str">
        <f>IFERROR(VLOOKUP(tbEquipe[[#This Row],[Nome]],tbFOPAG[[Nome]:[Cargo]],2,0),"&lt;Selecionar Nome&gt;")</f>
        <v>&lt;Selecionar Nome&gt;</v>
      </c>
      <c r="E647">
        <f>176*tbEquipe[[#This Row],[Alocação]]</f>
        <v>0</v>
      </c>
      <c r="F647" s="34"/>
      <c r="G6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7" s="1"/>
    </row>
    <row r="648" spans="2:8" hidden="1" x14ac:dyDescent="0.25">
      <c r="B648" s="25" t="str">
        <f>IFERROR(VLOOKUP(tbEquipe[[#This Row],[Nome]],tbFOPAG[[Nome]:[Cargo]],2,0),"&lt;Selecionar Nome&gt;")</f>
        <v>&lt;Selecionar Nome&gt;</v>
      </c>
      <c r="E648">
        <f>176*tbEquipe[[#This Row],[Alocação]]</f>
        <v>0</v>
      </c>
      <c r="F648" s="34"/>
      <c r="G6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8" s="1"/>
    </row>
    <row r="649" spans="2:8" hidden="1" x14ac:dyDescent="0.25">
      <c r="B649" s="25" t="str">
        <f>IFERROR(VLOOKUP(tbEquipe[[#This Row],[Nome]],tbFOPAG[[Nome]:[Cargo]],2,0),"&lt;Selecionar Nome&gt;")</f>
        <v>&lt;Selecionar Nome&gt;</v>
      </c>
      <c r="E649">
        <f>176*tbEquipe[[#This Row],[Alocação]]</f>
        <v>0</v>
      </c>
      <c r="F649" s="34"/>
      <c r="G6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49" s="1"/>
    </row>
    <row r="650" spans="2:8" hidden="1" x14ac:dyDescent="0.25">
      <c r="B650" s="25" t="str">
        <f>IFERROR(VLOOKUP(tbEquipe[[#This Row],[Nome]],tbFOPAG[[Nome]:[Cargo]],2,0),"&lt;Selecionar Nome&gt;")</f>
        <v>&lt;Selecionar Nome&gt;</v>
      </c>
      <c r="E650">
        <f>176*tbEquipe[[#This Row],[Alocação]]</f>
        <v>0</v>
      </c>
      <c r="F650" s="34"/>
      <c r="G6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0" s="1"/>
    </row>
    <row r="651" spans="2:8" hidden="1" x14ac:dyDescent="0.25">
      <c r="B651" s="25" t="str">
        <f>IFERROR(VLOOKUP(tbEquipe[[#This Row],[Nome]],tbFOPAG[[Nome]:[Cargo]],2,0),"&lt;Selecionar Nome&gt;")</f>
        <v>&lt;Selecionar Nome&gt;</v>
      </c>
      <c r="E651">
        <f>176*tbEquipe[[#This Row],[Alocação]]</f>
        <v>0</v>
      </c>
      <c r="F651" s="34"/>
      <c r="G6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1" s="1"/>
    </row>
    <row r="652" spans="2:8" hidden="1" x14ac:dyDescent="0.25">
      <c r="B652" s="25" t="str">
        <f>IFERROR(VLOOKUP(tbEquipe[[#This Row],[Nome]],tbFOPAG[[Nome]:[Cargo]],2,0),"&lt;Selecionar Nome&gt;")</f>
        <v>&lt;Selecionar Nome&gt;</v>
      </c>
      <c r="E652">
        <f>176*tbEquipe[[#This Row],[Alocação]]</f>
        <v>0</v>
      </c>
      <c r="F652" s="34"/>
      <c r="G6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2" s="1"/>
    </row>
    <row r="653" spans="2:8" hidden="1" x14ac:dyDescent="0.25">
      <c r="B653" s="25" t="str">
        <f>IFERROR(VLOOKUP(tbEquipe[[#This Row],[Nome]],tbFOPAG[[Nome]:[Cargo]],2,0),"&lt;Selecionar Nome&gt;")</f>
        <v>&lt;Selecionar Nome&gt;</v>
      </c>
      <c r="E653">
        <f>176*tbEquipe[[#This Row],[Alocação]]</f>
        <v>0</v>
      </c>
      <c r="F653" s="34"/>
      <c r="G6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3" s="1"/>
    </row>
    <row r="654" spans="2:8" hidden="1" x14ac:dyDescent="0.25">
      <c r="B654" s="25" t="str">
        <f>IFERROR(VLOOKUP(tbEquipe[[#This Row],[Nome]],tbFOPAG[[Nome]:[Cargo]],2,0),"&lt;Selecionar Nome&gt;")</f>
        <v>&lt;Selecionar Nome&gt;</v>
      </c>
      <c r="E654">
        <f>176*tbEquipe[[#This Row],[Alocação]]</f>
        <v>0</v>
      </c>
      <c r="F654" s="34"/>
      <c r="G6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4" s="1"/>
    </row>
    <row r="655" spans="2:8" hidden="1" x14ac:dyDescent="0.25">
      <c r="B655" s="25" t="str">
        <f>IFERROR(VLOOKUP(tbEquipe[[#This Row],[Nome]],tbFOPAG[[Nome]:[Cargo]],2,0),"&lt;Selecionar Nome&gt;")</f>
        <v>&lt;Selecionar Nome&gt;</v>
      </c>
      <c r="E655">
        <f>176*tbEquipe[[#This Row],[Alocação]]</f>
        <v>0</v>
      </c>
      <c r="F655" s="34"/>
      <c r="G6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5" s="1"/>
    </row>
    <row r="656" spans="2:8" hidden="1" x14ac:dyDescent="0.25">
      <c r="B656" s="25" t="str">
        <f>IFERROR(VLOOKUP(tbEquipe[[#This Row],[Nome]],tbFOPAG[[Nome]:[Cargo]],2,0),"&lt;Selecionar Nome&gt;")</f>
        <v>&lt;Selecionar Nome&gt;</v>
      </c>
      <c r="E656">
        <f>176*tbEquipe[[#This Row],[Alocação]]</f>
        <v>0</v>
      </c>
      <c r="F656" s="34"/>
      <c r="G6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6" s="1"/>
    </row>
    <row r="657" spans="2:8" hidden="1" x14ac:dyDescent="0.25">
      <c r="B657" s="25" t="str">
        <f>IFERROR(VLOOKUP(tbEquipe[[#This Row],[Nome]],tbFOPAG[[Nome]:[Cargo]],2,0),"&lt;Selecionar Nome&gt;")</f>
        <v>&lt;Selecionar Nome&gt;</v>
      </c>
      <c r="E657">
        <f>176*tbEquipe[[#This Row],[Alocação]]</f>
        <v>0</v>
      </c>
      <c r="F657" s="34"/>
      <c r="G6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7" s="1"/>
    </row>
    <row r="658" spans="2:8" hidden="1" x14ac:dyDescent="0.25">
      <c r="B658" s="25" t="str">
        <f>IFERROR(VLOOKUP(tbEquipe[[#This Row],[Nome]],tbFOPAG[[Nome]:[Cargo]],2,0),"&lt;Selecionar Nome&gt;")</f>
        <v>&lt;Selecionar Nome&gt;</v>
      </c>
      <c r="E658">
        <f>176*tbEquipe[[#This Row],[Alocação]]</f>
        <v>0</v>
      </c>
      <c r="F658" s="34"/>
      <c r="G6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8" s="1"/>
    </row>
    <row r="659" spans="2:8" hidden="1" x14ac:dyDescent="0.25">
      <c r="B659" s="25" t="str">
        <f>IFERROR(VLOOKUP(tbEquipe[[#This Row],[Nome]],tbFOPAG[[Nome]:[Cargo]],2,0),"&lt;Selecionar Nome&gt;")</f>
        <v>&lt;Selecionar Nome&gt;</v>
      </c>
      <c r="E659">
        <f>176*tbEquipe[[#This Row],[Alocação]]</f>
        <v>0</v>
      </c>
      <c r="F659" s="34"/>
      <c r="G6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59" s="1"/>
    </row>
    <row r="660" spans="2:8" hidden="1" x14ac:dyDescent="0.25">
      <c r="B660" s="25" t="str">
        <f>IFERROR(VLOOKUP(tbEquipe[[#This Row],[Nome]],tbFOPAG[[Nome]:[Cargo]],2,0),"&lt;Selecionar Nome&gt;")</f>
        <v>&lt;Selecionar Nome&gt;</v>
      </c>
      <c r="E660">
        <f>176*tbEquipe[[#This Row],[Alocação]]</f>
        <v>0</v>
      </c>
      <c r="F660" s="34"/>
      <c r="G6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0" s="1"/>
    </row>
    <row r="661" spans="2:8" hidden="1" x14ac:dyDescent="0.25">
      <c r="B661" s="25" t="str">
        <f>IFERROR(VLOOKUP(tbEquipe[[#This Row],[Nome]],tbFOPAG[[Nome]:[Cargo]],2,0),"&lt;Selecionar Nome&gt;")</f>
        <v>&lt;Selecionar Nome&gt;</v>
      </c>
      <c r="E661">
        <f>176*tbEquipe[[#This Row],[Alocação]]</f>
        <v>0</v>
      </c>
      <c r="F661" s="34"/>
      <c r="G6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1" s="1"/>
    </row>
    <row r="662" spans="2:8" hidden="1" x14ac:dyDescent="0.25">
      <c r="B662" s="25" t="str">
        <f>IFERROR(VLOOKUP(tbEquipe[[#This Row],[Nome]],tbFOPAG[[Nome]:[Cargo]],2,0),"&lt;Selecionar Nome&gt;")</f>
        <v>&lt;Selecionar Nome&gt;</v>
      </c>
      <c r="E662">
        <f>176*tbEquipe[[#This Row],[Alocação]]</f>
        <v>0</v>
      </c>
      <c r="F662" s="34"/>
      <c r="G6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2" s="1"/>
    </row>
    <row r="663" spans="2:8" hidden="1" x14ac:dyDescent="0.25">
      <c r="B663" s="25" t="str">
        <f>IFERROR(VLOOKUP(tbEquipe[[#This Row],[Nome]],tbFOPAG[[Nome]:[Cargo]],2,0),"&lt;Selecionar Nome&gt;")</f>
        <v>&lt;Selecionar Nome&gt;</v>
      </c>
      <c r="E663">
        <f>176*tbEquipe[[#This Row],[Alocação]]</f>
        <v>0</v>
      </c>
      <c r="F663" s="34"/>
      <c r="G6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3" s="1"/>
    </row>
    <row r="664" spans="2:8" hidden="1" x14ac:dyDescent="0.25">
      <c r="B664" s="25" t="str">
        <f>IFERROR(VLOOKUP(tbEquipe[[#This Row],[Nome]],tbFOPAG[[Nome]:[Cargo]],2,0),"&lt;Selecionar Nome&gt;")</f>
        <v>&lt;Selecionar Nome&gt;</v>
      </c>
      <c r="E664">
        <f>176*tbEquipe[[#This Row],[Alocação]]</f>
        <v>0</v>
      </c>
      <c r="F664" s="34"/>
      <c r="G6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4" s="1"/>
    </row>
    <row r="665" spans="2:8" hidden="1" x14ac:dyDescent="0.25">
      <c r="B665" s="25" t="str">
        <f>IFERROR(VLOOKUP(tbEquipe[[#This Row],[Nome]],tbFOPAG[[Nome]:[Cargo]],2,0),"&lt;Selecionar Nome&gt;")</f>
        <v>&lt;Selecionar Nome&gt;</v>
      </c>
      <c r="E665">
        <f>176*tbEquipe[[#This Row],[Alocação]]</f>
        <v>0</v>
      </c>
      <c r="F665" s="34"/>
      <c r="G6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5" s="1"/>
    </row>
    <row r="666" spans="2:8" hidden="1" x14ac:dyDescent="0.25">
      <c r="B666" s="25" t="str">
        <f>IFERROR(VLOOKUP(tbEquipe[[#This Row],[Nome]],tbFOPAG[[Nome]:[Cargo]],2,0),"&lt;Selecionar Nome&gt;")</f>
        <v>&lt;Selecionar Nome&gt;</v>
      </c>
      <c r="E666">
        <f>176*tbEquipe[[#This Row],[Alocação]]</f>
        <v>0</v>
      </c>
      <c r="F666" s="34"/>
      <c r="G6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6" s="1"/>
    </row>
    <row r="667" spans="2:8" hidden="1" x14ac:dyDescent="0.25">
      <c r="B667" s="25" t="str">
        <f>IFERROR(VLOOKUP(tbEquipe[[#This Row],[Nome]],tbFOPAG[[Nome]:[Cargo]],2,0),"&lt;Selecionar Nome&gt;")</f>
        <v>&lt;Selecionar Nome&gt;</v>
      </c>
      <c r="E667">
        <f>176*tbEquipe[[#This Row],[Alocação]]</f>
        <v>0</v>
      </c>
      <c r="F667" s="34"/>
      <c r="G6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7" s="1"/>
    </row>
    <row r="668" spans="2:8" hidden="1" x14ac:dyDescent="0.25">
      <c r="B668" s="25" t="str">
        <f>IFERROR(VLOOKUP(tbEquipe[[#This Row],[Nome]],tbFOPAG[[Nome]:[Cargo]],2,0),"&lt;Selecionar Nome&gt;")</f>
        <v>&lt;Selecionar Nome&gt;</v>
      </c>
      <c r="E668">
        <f>176*tbEquipe[[#This Row],[Alocação]]</f>
        <v>0</v>
      </c>
      <c r="F668" s="34"/>
      <c r="G6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8" s="1"/>
    </row>
    <row r="669" spans="2:8" hidden="1" x14ac:dyDescent="0.25">
      <c r="B669" s="25" t="str">
        <f>IFERROR(VLOOKUP(tbEquipe[[#This Row],[Nome]],tbFOPAG[[Nome]:[Cargo]],2,0),"&lt;Selecionar Nome&gt;")</f>
        <v>&lt;Selecionar Nome&gt;</v>
      </c>
      <c r="E669">
        <f>176*tbEquipe[[#This Row],[Alocação]]</f>
        <v>0</v>
      </c>
      <c r="F669" s="34"/>
      <c r="G6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69" s="1"/>
    </row>
    <row r="670" spans="2:8" hidden="1" x14ac:dyDescent="0.25">
      <c r="B670" s="25" t="str">
        <f>IFERROR(VLOOKUP(tbEquipe[[#This Row],[Nome]],tbFOPAG[[Nome]:[Cargo]],2,0),"&lt;Selecionar Nome&gt;")</f>
        <v>&lt;Selecionar Nome&gt;</v>
      </c>
      <c r="E670">
        <f>176*tbEquipe[[#This Row],[Alocação]]</f>
        <v>0</v>
      </c>
      <c r="F670" s="34"/>
      <c r="G6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0" s="1"/>
    </row>
    <row r="671" spans="2:8" hidden="1" x14ac:dyDescent="0.25">
      <c r="B671" s="25" t="str">
        <f>IFERROR(VLOOKUP(tbEquipe[[#This Row],[Nome]],tbFOPAG[[Nome]:[Cargo]],2,0),"&lt;Selecionar Nome&gt;")</f>
        <v>&lt;Selecionar Nome&gt;</v>
      </c>
      <c r="E671">
        <f>176*tbEquipe[[#This Row],[Alocação]]</f>
        <v>0</v>
      </c>
      <c r="F671" s="34"/>
      <c r="G6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1" s="1"/>
    </row>
    <row r="672" spans="2:8" hidden="1" x14ac:dyDescent="0.25">
      <c r="B672" s="25" t="str">
        <f>IFERROR(VLOOKUP(tbEquipe[[#This Row],[Nome]],tbFOPAG[[Nome]:[Cargo]],2,0),"&lt;Selecionar Nome&gt;")</f>
        <v>&lt;Selecionar Nome&gt;</v>
      </c>
      <c r="E672">
        <f>176*tbEquipe[[#This Row],[Alocação]]</f>
        <v>0</v>
      </c>
      <c r="F672" s="34"/>
      <c r="G6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2" s="1"/>
    </row>
    <row r="673" spans="2:8" hidden="1" x14ac:dyDescent="0.25">
      <c r="B673" s="25" t="str">
        <f>IFERROR(VLOOKUP(tbEquipe[[#This Row],[Nome]],tbFOPAG[[Nome]:[Cargo]],2,0),"&lt;Selecionar Nome&gt;")</f>
        <v>&lt;Selecionar Nome&gt;</v>
      </c>
      <c r="E673">
        <f>176*tbEquipe[[#This Row],[Alocação]]</f>
        <v>0</v>
      </c>
      <c r="F673" s="34"/>
      <c r="G6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3" s="1"/>
    </row>
    <row r="674" spans="2:8" hidden="1" x14ac:dyDescent="0.25">
      <c r="B674" s="25" t="str">
        <f>IFERROR(VLOOKUP(tbEquipe[[#This Row],[Nome]],tbFOPAG[[Nome]:[Cargo]],2,0),"&lt;Selecionar Nome&gt;")</f>
        <v>&lt;Selecionar Nome&gt;</v>
      </c>
      <c r="E674">
        <f>176*tbEquipe[[#This Row],[Alocação]]</f>
        <v>0</v>
      </c>
      <c r="F674" s="34"/>
      <c r="G6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4" s="1"/>
    </row>
    <row r="675" spans="2:8" hidden="1" x14ac:dyDescent="0.25">
      <c r="B675" s="25" t="str">
        <f>IFERROR(VLOOKUP(tbEquipe[[#This Row],[Nome]],tbFOPAG[[Nome]:[Cargo]],2,0),"&lt;Selecionar Nome&gt;")</f>
        <v>&lt;Selecionar Nome&gt;</v>
      </c>
      <c r="E675">
        <f>176*tbEquipe[[#This Row],[Alocação]]</f>
        <v>0</v>
      </c>
      <c r="F675" s="34"/>
      <c r="G6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5" s="1"/>
    </row>
    <row r="676" spans="2:8" hidden="1" x14ac:dyDescent="0.25">
      <c r="B676" s="25" t="str">
        <f>IFERROR(VLOOKUP(tbEquipe[[#This Row],[Nome]],tbFOPAG[[Nome]:[Cargo]],2,0),"&lt;Selecionar Nome&gt;")</f>
        <v>&lt;Selecionar Nome&gt;</v>
      </c>
      <c r="E676">
        <f>176*tbEquipe[[#This Row],[Alocação]]</f>
        <v>0</v>
      </c>
      <c r="F676" s="34"/>
      <c r="G6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6" s="1"/>
    </row>
    <row r="677" spans="2:8" hidden="1" x14ac:dyDescent="0.25">
      <c r="B677" s="25" t="str">
        <f>IFERROR(VLOOKUP(tbEquipe[[#This Row],[Nome]],tbFOPAG[[Nome]:[Cargo]],2,0),"&lt;Selecionar Nome&gt;")</f>
        <v>&lt;Selecionar Nome&gt;</v>
      </c>
      <c r="E677">
        <f>176*tbEquipe[[#This Row],[Alocação]]</f>
        <v>0</v>
      </c>
      <c r="F677" s="34"/>
      <c r="G6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7" s="1"/>
    </row>
    <row r="678" spans="2:8" hidden="1" x14ac:dyDescent="0.25">
      <c r="B678" s="25" t="str">
        <f>IFERROR(VLOOKUP(tbEquipe[[#This Row],[Nome]],tbFOPAG[[Nome]:[Cargo]],2,0),"&lt;Selecionar Nome&gt;")</f>
        <v>&lt;Selecionar Nome&gt;</v>
      </c>
      <c r="E678">
        <f>176*tbEquipe[[#This Row],[Alocação]]</f>
        <v>0</v>
      </c>
      <c r="F678" s="34"/>
      <c r="G6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8" s="1"/>
    </row>
    <row r="679" spans="2:8" hidden="1" x14ac:dyDescent="0.25">
      <c r="B679" s="25" t="str">
        <f>IFERROR(VLOOKUP(tbEquipe[[#This Row],[Nome]],tbFOPAG[[Nome]:[Cargo]],2,0),"&lt;Selecionar Nome&gt;")</f>
        <v>&lt;Selecionar Nome&gt;</v>
      </c>
      <c r="E679">
        <f>176*tbEquipe[[#This Row],[Alocação]]</f>
        <v>0</v>
      </c>
      <c r="F679" s="34"/>
      <c r="G6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79" s="1"/>
    </row>
    <row r="680" spans="2:8" hidden="1" x14ac:dyDescent="0.25">
      <c r="B680" s="25" t="str">
        <f>IFERROR(VLOOKUP(tbEquipe[[#This Row],[Nome]],tbFOPAG[[Nome]:[Cargo]],2,0),"&lt;Selecionar Nome&gt;")</f>
        <v>&lt;Selecionar Nome&gt;</v>
      </c>
      <c r="E680">
        <f>176*tbEquipe[[#This Row],[Alocação]]</f>
        <v>0</v>
      </c>
      <c r="F680" s="34"/>
      <c r="G6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0" s="1"/>
    </row>
    <row r="681" spans="2:8" hidden="1" x14ac:dyDescent="0.25">
      <c r="B681" s="25" t="str">
        <f>IFERROR(VLOOKUP(tbEquipe[[#This Row],[Nome]],tbFOPAG[[Nome]:[Cargo]],2,0),"&lt;Selecionar Nome&gt;")</f>
        <v>&lt;Selecionar Nome&gt;</v>
      </c>
      <c r="E681">
        <f>176*tbEquipe[[#This Row],[Alocação]]</f>
        <v>0</v>
      </c>
      <c r="F681" s="34"/>
      <c r="G6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1" s="1"/>
    </row>
    <row r="682" spans="2:8" hidden="1" x14ac:dyDescent="0.25">
      <c r="B682" s="25" t="str">
        <f>IFERROR(VLOOKUP(tbEquipe[[#This Row],[Nome]],tbFOPAG[[Nome]:[Cargo]],2,0),"&lt;Selecionar Nome&gt;")</f>
        <v>&lt;Selecionar Nome&gt;</v>
      </c>
      <c r="E682">
        <f>176*tbEquipe[[#This Row],[Alocação]]</f>
        <v>0</v>
      </c>
      <c r="F682" s="34"/>
      <c r="G6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2" s="1"/>
    </row>
    <row r="683" spans="2:8" hidden="1" x14ac:dyDescent="0.25">
      <c r="B683" s="25" t="str">
        <f>IFERROR(VLOOKUP(tbEquipe[[#This Row],[Nome]],tbFOPAG[[Nome]:[Cargo]],2,0),"&lt;Selecionar Nome&gt;")</f>
        <v>&lt;Selecionar Nome&gt;</v>
      </c>
      <c r="E683">
        <f>176*tbEquipe[[#This Row],[Alocação]]</f>
        <v>0</v>
      </c>
      <c r="F683" s="34"/>
      <c r="G6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3" s="1"/>
    </row>
    <row r="684" spans="2:8" hidden="1" x14ac:dyDescent="0.25">
      <c r="B684" s="25" t="str">
        <f>IFERROR(VLOOKUP(tbEquipe[[#This Row],[Nome]],tbFOPAG[[Nome]:[Cargo]],2,0),"&lt;Selecionar Nome&gt;")</f>
        <v>&lt;Selecionar Nome&gt;</v>
      </c>
      <c r="E684">
        <f>176*tbEquipe[[#This Row],[Alocação]]</f>
        <v>0</v>
      </c>
      <c r="F684" s="34"/>
      <c r="G6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4" s="1"/>
    </row>
    <row r="685" spans="2:8" hidden="1" x14ac:dyDescent="0.25">
      <c r="B685" s="25" t="str">
        <f>IFERROR(VLOOKUP(tbEquipe[[#This Row],[Nome]],tbFOPAG[[Nome]:[Cargo]],2,0),"&lt;Selecionar Nome&gt;")</f>
        <v>&lt;Selecionar Nome&gt;</v>
      </c>
      <c r="E685">
        <f>176*tbEquipe[[#This Row],[Alocação]]</f>
        <v>0</v>
      </c>
      <c r="F685" s="34"/>
      <c r="G6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5" s="1"/>
    </row>
    <row r="686" spans="2:8" hidden="1" x14ac:dyDescent="0.25">
      <c r="B686" s="25" t="str">
        <f>IFERROR(VLOOKUP(tbEquipe[[#This Row],[Nome]],tbFOPAG[[Nome]:[Cargo]],2,0),"&lt;Selecionar Nome&gt;")</f>
        <v>&lt;Selecionar Nome&gt;</v>
      </c>
      <c r="E686">
        <f>176*tbEquipe[[#This Row],[Alocação]]</f>
        <v>0</v>
      </c>
      <c r="F686" s="34"/>
      <c r="G6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6" s="1"/>
    </row>
    <row r="687" spans="2:8" hidden="1" x14ac:dyDescent="0.25">
      <c r="B687" s="25" t="str">
        <f>IFERROR(VLOOKUP(tbEquipe[[#This Row],[Nome]],tbFOPAG[[Nome]:[Cargo]],2,0),"&lt;Selecionar Nome&gt;")</f>
        <v>&lt;Selecionar Nome&gt;</v>
      </c>
      <c r="E687">
        <f>176*tbEquipe[[#This Row],[Alocação]]</f>
        <v>0</v>
      </c>
      <c r="F687" s="34"/>
      <c r="G6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7" s="1"/>
    </row>
    <row r="688" spans="2:8" hidden="1" x14ac:dyDescent="0.25">
      <c r="B688" s="25" t="str">
        <f>IFERROR(VLOOKUP(tbEquipe[[#This Row],[Nome]],tbFOPAG[[Nome]:[Cargo]],2,0),"&lt;Selecionar Nome&gt;")</f>
        <v>&lt;Selecionar Nome&gt;</v>
      </c>
      <c r="E688">
        <f>176*tbEquipe[[#This Row],[Alocação]]</f>
        <v>0</v>
      </c>
      <c r="F688" s="34"/>
      <c r="G6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8" s="1"/>
    </row>
    <row r="689" spans="2:8" hidden="1" x14ac:dyDescent="0.25">
      <c r="B689" s="25" t="str">
        <f>IFERROR(VLOOKUP(tbEquipe[[#This Row],[Nome]],tbFOPAG[[Nome]:[Cargo]],2,0),"&lt;Selecionar Nome&gt;")</f>
        <v>&lt;Selecionar Nome&gt;</v>
      </c>
      <c r="E689">
        <f>176*tbEquipe[[#This Row],[Alocação]]</f>
        <v>0</v>
      </c>
      <c r="F689" s="34"/>
      <c r="G6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89" s="1"/>
    </row>
    <row r="690" spans="2:8" hidden="1" x14ac:dyDescent="0.25">
      <c r="B690" s="25" t="str">
        <f>IFERROR(VLOOKUP(tbEquipe[[#This Row],[Nome]],tbFOPAG[[Nome]:[Cargo]],2,0),"&lt;Selecionar Nome&gt;")</f>
        <v>&lt;Selecionar Nome&gt;</v>
      </c>
      <c r="E690">
        <f>176*tbEquipe[[#This Row],[Alocação]]</f>
        <v>0</v>
      </c>
      <c r="F690" s="34"/>
      <c r="G6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0" s="1"/>
    </row>
    <row r="691" spans="2:8" hidden="1" x14ac:dyDescent="0.25">
      <c r="B691" s="25" t="str">
        <f>IFERROR(VLOOKUP(tbEquipe[[#This Row],[Nome]],tbFOPAG[[Nome]:[Cargo]],2,0),"&lt;Selecionar Nome&gt;")</f>
        <v>&lt;Selecionar Nome&gt;</v>
      </c>
      <c r="E691">
        <f>176*tbEquipe[[#This Row],[Alocação]]</f>
        <v>0</v>
      </c>
      <c r="F691" s="34"/>
      <c r="G6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1" s="1"/>
    </row>
    <row r="692" spans="2:8" hidden="1" x14ac:dyDescent="0.25">
      <c r="B692" s="25" t="str">
        <f>IFERROR(VLOOKUP(tbEquipe[[#This Row],[Nome]],tbFOPAG[[Nome]:[Cargo]],2,0),"&lt;Selecionar Nome&gt;")</f>
        <v>&lt;Selecionar Nome&gt;</v>
      </c>
      <c r="E692">
        <f>176*tbEquipe[[#This Row],[Alocação]]</f>
        <v>0</v>
      </c>
      <c r="F692" s="34"/>
      <c r="G6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2" s="1"/>
    </row>
    <row r="693" spans="2:8" hidden="1" x14ac:dyDescent="0.25">
      <c r="B693" s="25" t="str">
        <f>IFERROR(VLOOKUP(tbEquipe[[#This Row],[Nome]],tbFOPAG[[Nome]:[Cargo]],2,0),"&lt;Selecionar Nome&gt;")</f>
        <v>&lt;Selecionar Nome&gt;</v>
      </c>
      <c r="E693">
        <f>176*tbEquipe[[#This Row],[Alocação]]</f>
        <v>0</v>
      </c>
      <c r="F693" s="34"/>
      <c r="G6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3" s="1"/>
    </row>
    <row r="694" spans="2:8" hidden="1" x14ac:dyDescent="0.25">
      <c r="B694" s="25" t="str">
        <f>IFERROR(VLOOKUP(tbEquipe[[#This Row],[Nome]],tbFOPAG[[Nome]:[Cargo]],2,0),"&lt;Selecionar Nome&gt;")</f>
        <v>&lt;Selecionar Nome&gt;</v>
      </c>
      <c r="E694">
        <f>176*tbEquipe[[#This Row],[Alocação]]</f>
        <v>0</v>
      </c>
      <c r="F694" s="34"/>
      <c r="G6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4" s="1"/>
    </row>
    <row r="695" spans="2:8" hidden="1" x14ac:dyDescent="0.25">
      <c r="B695" s="25" t="str">
        <f>IFERROR(VLOOKUP(tbEquipe[[#This Row],[Nome]],tbFOPAG[[Nome]:[Cargo]],2,0),"&lt;Selecionar Nome&gt;")</f>
        <v>&lt;Selecionar Nome&gt;</v>
      </c>
      <c r="E695">
        <f>176*tbEquipe[[#This Row],[Alocação]]</f>
        <v>0</v>
      </c>
      <c r="F695" s="34"/>
      <c r="G6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5" s="1"/>
    </row>
    <row r="696" spans="2:8" hidden="1" x14ac:dyDescent="0.25">
      <c r="B696" s="25" t="str">
        <f>IFERROR(VLOOKUP(tbEquipe[[#This Row],[Nome]],tbFOPAG[[Nome]:[Cargo]],2,0),"&lt;Selecionar Nome&gt;")</f>
        <v>&lt;Selecionar Nome&gt;</v>
      </c>
      <c r="E696">
        <f>176*tbEquipe[[#This Row],[Alocação]]</f>
        <v>0</v>
      </c>
      <c r="F696" s="34"/>
      <c r="G6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6" s="1"/>
    </row>
    <row r="697" spans="2:8" hidden="1" x14ac:dyDescent="0.25">
      <c r="B697" s="25" t="str">
        <f>IFERROR(VLOOKUP(tbEquipe[[#This Row],[Nome]],tbFOPAG[[Nome]:[Cargo]],2,0),"&lt;Selecionar Nome&gt;")</f>
        <v>&lt;Selecionar Nome&gt;</v>
      </c>
      <c r="E697">
        <f>176*tbEquipe[[#This Row],[Alocação]]</f>
        <v>0</v>
      </c>
      <c r="F697" s="34"/>
      <c r="G6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7" s="1"/>
    </row>
    <row r="698" spans="2:8" hidden="1" x14ac:dyDescent="0.25">
      <c r="B698" s="25" t="str">
        <f>IFERROR(VLOOKUP(tbEquipe[[#This Row],[Nome]],tbFOPAG[[Nome]:[Cargo]],2,0),"&lt;Selecionar Nome&gt;")</f>
        <v>&lt;Selecionar Nome&gt;</v>
      </c>
      <c r="E698">
        <f>176*tbEquipe[[#This Row],[Alocação]]</f>
        <v>0</v>
      </c>
      <c r="F698" s="34"/>
      <c r="G6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8" s="1"/>
    </row>
    <row r="699" spans="2:8" hidden="1" x14ac:dyDescent="0.25">
      <c r="B699" s="25" t="str">
        <f>IFERROR(VLOOKUP(tbEquipe[[#This Row],[Nome]],tbFOPAG[[Nome]:[Cargo]],2,0),"&lt;Selecionar Nome&gt;")</f>
        <v>&lt;Selecionar Nome&gt;</v>
      </c>
      <c r="E699">
        <f>176*tbEquipe[[#This Row],[Alocação]]</f>
        <v>0</v>
      </c>
      <c r="F699" s="34"/>
      <c r="G6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699" s="1"/>
    </row>
    <row r="700" spans="2:8" hidden="1" x14ac:dyDescent="0.25">
      <c r="B700" s="25" t="str">
        <f>IFERROR(VLOOKUP(tbEquipe[[#This Row],[Nome]],tbFOPAG[[Nome]:[Cargo]],2,0),"&lt;Selecionar Nome&gt;")</f>
        <v>&lt;Selecionar Nome&gt;</v>
      </c>
      <c r="E700">
        <f>176*tbEquipe[[#This Row],[Alocação]]</f>
        <v>0</v>
      </c>
      <c r="F700" s="34"/>
      <c r="G7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0" s="1"/>
    </row>
    <row r="701" spans="2:8" hidden="1" x14ac:dyDescent="0.25">
      <c r="B701" s="25" t="str">
        <f>IFERROR(VLOOKUP(tbEquipe[[#This Row],[Nome]],tbFOPAG[[Nome]:[Cargo]],2,0),"&lt;Selecionar Nome&gt;")</f>
        <v>&lt;Selecionar Nome&gt;</v>
      </c>
      <c r="E701">
        <f>176*tbEquipe[[#This Row],[Alocação]]</f>
        <v>0</v>
      </c>
      <c r="F701" s="34"/>
      <c r="G7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1" s="1"/>
    </row>
    <row r="702" spans="2:8" hidden="1" x14ac:dyDescent="0.25">
      <c r="B702" s="25" t="str">
        <f>IFERROR(VLOOKUP(tbEquipe[[#This Row],[Nome]],tbFOPAG[[Nome]:[Cargo]],2,0),"&lt;Selecionar Nome&gt;")</f>
        <v>&lt;Selecionar Nome&gt;</v>
      </c>
      <c r="E702">
        <f>176*tbEquipe[[#This Row],[Alocação]]</f>
        <v>0</v>
      </c>
      <c r="F702" s="34"/>
      <c r="G7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2" s="1"/>
    </row>
    <row r="703" spans="2:8" hidden="1" x14ac:dyDescent="0.25">
      <c r="B703" s="25" t="str">
        <f>IFERROR(VLOOKUP(tbEquipe[[#This Row],[Nome]],tbFOPAG[[Nome]:[Cargo]],2,0),"&lt;Selecionar Nome&gt;")</f>
        <v>&lt;Selecionar Nome&gt;</v>
      </c>
      <c r="E703">
        <f>176*tbEquipe[[#This Row],[Alocação]]</f>
        <v>0</v>
      </c>
      <c r="F703" s="34"/>
      <c r="G7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3" s="1"/>
    </row>
    <row r="704" spans="2:8" hidden="1" x14ac:dyDescent="0.25">
      <c r="B704" s="25" t="str">
        <f>IFERROR(VLOOKUP(tbEquipe[[#This Row],[Nome]],tbFOPAG[[Nome]:[Cargo]],2,0),"&lt;Selecionar Nome&gt;")</f>
        <v>&lt;Selecionar Nome&gt;</v>
      </c>
      <c r="E704">
        <f>176*tbEquipe[[#This Row],[Alocação]]</f>
        <v>0</v>
      </c>
      <c r="F704" s="34"/>
      <c r="G7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4" s="1"/>
    </row>
    <row r="705" spans="2:8" hidden="1" x14ac:dyDescent="0.25">
      <c r="B705" s="25" t="str">
        <f>IFERROR(VLOOKUP(tbEquipe[[#This Row],[Nome]],tbFOPAG[[Nome]:[Cargo]],2,0),"&lt;Selecionar Nome&gt;")</f>
        <v>&lt;Selecionar Nome&gt;</v>
      </c>
      <c r="E705">
        <f>176*tbEquipe[[#This Row],[Alocação]]</f>
        <v>0</v>
      </c>
      <c r="F705" s="34"/>
      <c r="G7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5" s="1"/>
    </row>
    <row r="706" spans="2:8" hidden="1" x14ac:dyDescent="0.25">
      <c r="B706" s="25" t="str">
        <f>IFERROR(VLOOKUP(tbEquipe[[#This Row],[Nome]],tbFOPAG[[Nome]:[Cargo]],2,0),"&lt;Selecionar Nome&gt;")</f>
        <v>&lt;Selecionar Nome&gt;</v>
      </c>
      <c r="E706">
        <f>176*tbEquipe[[#This Row],[Alocação]]</f>
        <v>0</v>
      </c>
      <c r="F706" s="34"/>
      <c r="G7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6" s="1"/>
    </row>
    <row r="707" spans="2:8" hidden="1" x14ac:dyDescent="0.25">
      <c r="B707" s="25" t="str">
        <f>IFERROR(VLOOKUP(tbEquipe[[#This Row],[Nome]],tbFOPAG[[Nome]:[Cargo]],2,0),"&lt;Selecionar Nome&gt;")</f>
        <v>&lt;Selecionar Nome&gt;</v>
      </c>
      <c r="E707">
        <f>176*tbEquipe[[#This Row],[Alocação]]</f>
        <v>0</v>
      </c>
      <c r="F707" s="34"/>
      <c r="G7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7" s="1"/>
    </row>
    <row r="708" spans="2:8" hidden="1" x14ac:dyDescent="0.25">
      <c r="B708" s="25" t="str">
        <f>IFERROR(VLOOKUP(tbEquipe[[#This Row],[Nome]],tbFOPAG[[Nome]:[Cargo]],2,0),"&lt;Selecionar Nome&gt;")</f>
        <v>&lt;Selecionar Nome&gt;</v>
      </c>
      <c r="E708">
        <f>176*tbEquipe[[#This Row],[Alocação]]</f>
        <v>0</v>
      </c>
      <c r="F708" s="34"/>
      <c r="G7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8" s="1"/>
    </row>
    <row r="709" spans="2:8" hidden="1" x14ac:dyDescent="0.25">
      <c r="B709" s="25" t="str">
        <f>IFERROR(VLOOKUP(tbEquipe[[#This Row],[Nome]],tbFOPAG[[Nome]:[Cargo]],2,0),"&lt;Selecionar Nome&gt;")</f>
        <v>&lt;Selecionar Nome&gt;</v>
      </c>
      <c r="E709">
        <f>176*tbEquipe[[#This Row],[Alocação]]</f>
        <v>0</v>
      </c>
      <c r="F709" s="34"/>
      <c r="G7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09" s="1"/>
    </row>
    <row r="710" spans="2:8" hidden="1" x14ac:dyDescent="0.25">
      <c r="B710" s="25" t="str">
        <f>IFERROR(VLOOKUP(tbEquipe[[#This Row],[Nome]],tbFOPAG[[Nome]:[Cargo]],2,0),"&lt;Selecionar Nome&gt;")</f>
        <v>&lt;Selecionar Nome&gt;</v>
      </c>
      <c r="E710">
        <f>176*tbEquipe[[#This Row],[Alocação]]</f>
        <v>0</v>
      </c>
      <c r="F710" s="34"/>
      <c r="G7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0" s="1"/>
    </row>
    <row r="711" spans="2:8" hidden="1" x14ac:dyDescent="0.25">
      <c r="B711" s="25" t="str">
        <f>IFERROR(VLOOKUP(tbEquipe[[#This Row],[Nome]],tbFOPAG[[Nome]:[Cargo]],2,0),"&lt;Selecionar Nome&gt;")</f>
        <v>&lt;Selecionar Nome&gt;</v>
      </c>
      <c r="E711">
        <f>176*tbEquipe[[#This Row],[Alocação]]</f>
        <v>0</v>
      </c>
      <c r="F711" s="34"/>
      <c r="G7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1" s="1"/>
    </row>
    <row r="712" spans="2:8" hidden="1" x14ac:dyDescent="0.25">
      <c r="B712" s="25" t="str">
        <f>IFERROR(VLOOKUP(tbEquipe[[#This Row],[Nome]],tbFOPAG[[Nome]:[Cargo]],2,0),"&lt;Selecionar Nome&gt;")</f>
        <v>&lt;Selecionar Nome&gt;</v>
      </c>
      <c r="E712">
        <f>176*tbEquipe[[#This Row],[Alocação]]</f>
        <v>0</v>
      </c>
      <c r="F712" s="34"/>
      <c r="G7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2" s="1"/>
    </row>
    <row r="713" spans="2:8" hidden="1" x14ac:dyDescent="0.25">
      <c r="B713" s="25" t="str">
        <f>IFERROR(VLOOKUP(tbEquipe[[#This Row],[Nome]],tbFOPAG[[Nome]:[Cargo]],2,0),"&lt;Selecionar Nome&gt;")</f>
        <v>&lt;Selecionar Nome&gt;</v>
      </c>
      <c r="E713">
        <f>176*tbEquipe[[#This Row],[Alocação]]</f>
        <v>0</v>
      </c>
      <c r="F713" s="34"/>
      <c r="G7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3" s="1"/>
    </row>
    <row r="714" spans="2:8" hidden="1" x14ac:dyDescent="0.25">
      <c r="B714" s="25" t="str">
        <f>IFERROR(VLOOKUP(tbEquipe[[#This Row],[Nome]],tbFOPAG[[Nome]:[Cargo]],2,0),"&lt;Selecionar Nome&gt;")</f>
        <v>&lt;Selecionar Nome&gt;</v>
      </c>
      <c r="E714">
        <f>176*tbEquipe[[#This Row],[Alocação]]</f>
        <v>0</v>
      </c>
      <c r="F714" s="34"/>
      <c r="G7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4" s="1"/>
    </row>
    <row r="715" spans="2:8" hidden="1" x14ac:dyDescent="0.25">
      <c r="B715" s="25" t="str">
        <f>IFERROR(VLOOKUP(tbEquipe[[#This Row],[Nome]],tbFOPAG[[Nome]:[Cargo]],2,0),"&lt;Selecionar Nome&gt;")</f>
        <v>&lt;Selecionar Nome&gt;</v>
      </c>
      <c r="E715">
        <f>176*tbEquipe[[#This Row],[Alocação]]</f>
        <v>0</v>
      </c>
      <c r="F715" s="34"/>
      <c r="G7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5" s="1"/>
    </row>
    <row r="716" spans="2:8" hidden="1" x14ac:dyDescent="0.25">
      <c r="B716" s="25" t="str">
        <f>IFERROR(VLOOKUP(tbEquipe[[#This Row],[Nome]],tbFOPAG[[Nome]:[Cargo]],2,0),"&lt;Selecionar Nome&gt;")</f>
        <v>&lt;Selecionar Nome&gt;</v>
      </c>
      <c r="E716">
        <f>176*tbEquipe[[#This Row],[Alocação]]</f>
        <v>0</v>
      </c>
      <c r="F716" s="34"/>
      <c r="G7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6" s="1"/>
    </row>
    <row r="717" spans="2:8" hidden="1" x14ac:dyDescent="0.25">
      <c r="B717" s="25" t="str">
        <f>IFERROR(VLOOKUP(tbEquipe[[#This Row],[Nome]],tbFOPAG[[Nome]:[Cargo]],2,0),"&lt;Selecionar Nome&gt;")</f>
        <v>&lt;Selecionar Nome&gt;</v>
      </c>
      <c r="E717">
        <f>176*tbEquipe[[#This Row],[Alocação]]</f>
        <v>0</v>
      </c>
      <c r="F717" s="34"/>
      <c r="G7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7" s="1"/>
    </row>
    <row r="718" spans="2:8" hidden="1" x14ac:dyDescent="0.25">
      <c r="B718" s="25" t="str">
        <f>IFERROR(VLOOKUP(tbEquipe[[#This Row],[Nome]],tbFOPAG[[Nome]:[Cargo]],2,0),"&lt;Selecionar Nome&gt;")</f>
        <v>&lt;Selecionar Nome&gt;</v>
      </c>
      <c r="E718">
        <f>176*tbEquipe[[#This Row],[Alocação]]</f>
        <v>0</v>
      </c>
      <c r="F718" s="34"/>
      <c r="G7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8" s="1"/>
    </row>
    <row r="719" spans="2:8" hidden="1" x14ac:dyDescent="0.25">
      <c r="B719" s="25" t="str">
        <f>IFERROR(VLOOKUP(tbEquipe[[#This Row],[Nome]],tbFOPAG[[Nome]:[Cargo]],2,0),"&lt;Selecionar Nome&gt;")</f>
        <v>&lt;Selecionar Nome&gt;</v>
      </c>
      <c r="E719">
        <f>176*tbEquipe[[#This Row],[Alocação]]</f>
        <v>0</v>
      </c>
      <c r="F719" s="34"/>
      <c r="G7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19" s="1"/>
    </row>
    <row r="720" spans="2:8" hidden="1" x14ac:dyDescent="0.25">
      <c r="B720" s="25" t="str">
        <f>IFERROR(VLOOKUP(tbEquipe[[#This Row],[Nome]],tbFOPAG[[Nome]:[Cargo]],2,0),"&lt;Selecionar Nome&gt;")</f>
        <v>&lt;Selecionar Nome&gt;</v>
      </c>
      <c r="E720">
        <f>176*tbEquipe[[#This Row],[Alocação]]</f>
        <v>0</v>
      </c>
      <c r="F720" s="34"/>
      <c r="G7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0" s="1"/>
    </row>
    <row r="721" spans="2:8" hidden="1" x14ac:dyDescent="0.25">
      <c r="B721" s="25" t="str">
        <f>IFERROR(VLOOKUP(tbEquipe[[#This Row],[Nome]],tbFOPAG[[Nome]:[Cargo]],2,0),"&lt;Selecionar Nome&gt;")</f>
        <v>&lt;Selecionar Nome&gt;</v>
      </c>
      <c r="E721">
        <f>176*tbEquipe[[#This Row],[Alocação]]</f>
        <v>0</v>
      </c>
      <c r="F721" s="34"/>
      <c r="G7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1" s="1"/>
    </row>
    <row r="722" spans="2:8" hidden="1" x14ac:dyDescent="0.25">
      <c r="B722" s="25" t="str">
        <f>IFERROR(VLOOKUP(tbEquipe[[#This Row],[Nome]],tbFOPAG[[Nome]:[Cargo]],2,0),"&lt;Selecionar Nome&gt;")</f>
        <v>&lt;Selecionar Nome&gt;</v>
      </c>
      <c r="E722">
        <f>176*tbEquipe[[#This Row],[Alocação]]</f>
        <v>0</v>
      </c>
      <c r="F722" s="34"/>
      <c r="G7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2" s="1"/>
    </row>
    <row r="723" spans="2:8" hidden="1" x14ac:dyDescent="0.25">
      <c r="B723" s="25" t="str">
        <f>IFERROR(VLOOKUP(tbEquipe[[#This Row],[Nome]],tbFOPAG[[Nome]:[Cargo]],2,0),"&lt;Selecionar Nome&gt;")</f>
        <v>&lt;Selecionar Nome&gt;</v>
      </c>
      <c r="E723">
        <f>176*tbEquipe[[#This Row],[Alocação]]</f>
        <v>0</v>
      </c>
      <c r="F723" s="34"/>
      <c r="G7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3" s="1"/>
    </row>
    <row r="724" spans="2:8" hidden="1" x14ac:dyDescent="0.25">
      <c r="B724" s="25" t="str">
        <f>IFERROR(VLOOKUP(tbEquipe[[#This Row],[Nome]],tbFOPAG[[Nome]:[Cargo]],2,0),"&lt;Selecionar Nome&gt;")</f>
        <v>&lt;Selecionar Nome&gt;</v>
      </c>
      <c r="E724">
        <f>176*tbEquipe[[#This Row],[Alocação]]</f>
        <v>0</v>
      </c>
      <c r="F724" s="34"/>
      <c r="G7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4" s="1"/>
    </row>
    <row r="725" spans="2:8" hidden="1" x14ac:dyDescent="0.25">
      <c r="B725" s="25" t="str">
        <f>IFERROR(VLOOKUP(tbEquipe[[#This Row],[Nome]],tbFOPAG[[Nome]:[Cargo]],2,0),"&lt;Selecionar Nome&gt;")</f>
        <v>&lt;Selecionar Nome&gt;</v>
      </c>
      <c r="E725">
        <f>176*tbEquipe[[#This Row],[Alocação]]</f>
        <v>0</v>
      </c>
      <c r="F725" s="34"/>
      <c r="G7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5" s="1"/>
    </row>
    <row r="726" spans="2:8" hidden="1" x14ac:dyDescent="0.25">
      <c r="B726" s="25" t="str">
        <f>IFERROR(VLOOKUP(tbEquipe[[#This Row],[Nome]],tbFOPAG[[Nome]:[Cargo]],2,0),"&lt;Selecionar Nome&gt;")</f>
        <v>&lt;Selecionar Nome&gt;</v>
      </c>
      <c r="E726">
        <f>176*tbEquipe[[#This Row],[Alocação]]</f>
        <v>0</v>
      </c>
      <c r="F726" s="34"/>
      <c r="G7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6" s="1"/>
    </row>
    <row r="727" spans="2:8" hidden="1" x14ac:dyDescent="0.25">
      <c r="B727" s="25" t="str">
        <f>IFERROR(VLOOKUP(tbEquipe[[#This Row],[Nome]],tbFOPAG[[Nome]:[Cargo]],2,0),"&lt;Selecionar Nome&gt;")</f>
        <v>&lt;Selecionar Nome&gt;</v>
      </c>
      <c r="E727">
        <f>176*tbEquipe[[#This Row],[Alocação]]</f>
        <v>0</v>
      </c>
      <c r="F727" s="34"/>
      <c r="G7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7" s="1"/>
    </row>
    <row r="728" spans="2:8" hidden="1" x14ac:dyDescent="0.25">
      <c r="B728" s="25" t="str">
        <f>IFERROR(VLOOKUP(tbEquipe[[#This Row],[Nome]],tbFOPAG[[Nome]:[Cargo]],2,0),"&lt;Selecionar Nome&gt;")</f>
        <v>&lt;Selecionar Nome&gt;</v>
      </c>
      <c r="E728">
        <f>176*tbEquipe[[#This Row],[Alocação]]</f>
        <v>0</v>
      </c>
      <c r="F728" s="34"/>
      <c r="G7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8" s="1"/>
    </row>
    <row r="729" spans="2:8" hidden="1" x14ac:dyDescent="0.25">
      <c r="B729" s="25" t="str">
        <f>IFERROR(VLOOKUP(tbEquipe[[#This Row],[Nome]],tbFOPAG[[Nome]:[Cargo]],2,0),"&lt;Selecionar Nome&gt;")</f>
        <v>&lt;Selecionar Nome&gt;</v>
      </c>
      <c r="E729">
        <f>176*tbEquipe[[#This Row],[Alocação]]</f>
        <v>0</v>
      </c>
      <c r="F729" s="34"/>
      <c r="G7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29" s="1"/>
    </row>
    <row r="730" spans="2:8" hidden="1" x14ac:dyDescent="0.25">
      <c r="B730" s="25" t="str">
        <f>IFERROR(VLOOKUP(tbEquipe[[#This Row],[Nome]],tbFOPAG[[Nome]:[Cargo]],2,0),"&lt;Selecionar Nome&gt;")</f>
        <v>&lt;Selecionar Nome&gt;</v>
      </c>
      <c r="E730">
        <f>176*tbEquipe[[#This Row],[Alocação]]</f>
        <v>0</v>
      </c>
      <c r="F730" s="34"/>
      <c r="G7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0" s="1"/>
    </row>
    <row r="731" spans="2:8" hidden="1" x14ac:dyDescent="0.25">
      <c r="B731" s="25" t="str">
        <f>IFERROR(VLOOKUP(tbEquipe[[#This Row],[Nome]],tbFOPAG[[Nome]:[Cargo]],2,0),"&lt;Selecionar Nome&gt;")</f>
        <v>&lt;Selecionar Nome&gt;</v>
      </c>
      <c r="E731">
        <f>176*tbEquipe[[#This Row],[Alocação]]</f>
        <v>0</v>
      </c>
      <c r="F731" s="34"/>
      <c r="G7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1" s="1"/>
    </row>
    <row r="732" spans="2:8" hidden="1" x14ac:dyDescent="0.25">
      <c r="B732" s="25" t="str">
        <f>IFERROR(VLOOKUP(tbEquipe[[#This Row],[Nome]],tbFOPAG[[Nome]:[Cargo]],2,0),"&lt;Selecionar Nome&gt;")</f>
        <v>&lt;Selecionar Nome&gt;</v>
      </c>
      <c r="E732">
        <f>176*tbEquipe[[#This Row],[Alocação]]</f>
        <v>0</v>
      </c>
      <c r="F732" s="34"/>
      <c r="G7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2" s="1"/>
    </row>
    <row r="733" spans="2:8" hidden="1" x14ac:dyDescent="0.25">
      <c r="B733" s="25" t="str">
        <f>IFERROR(VLOOKUP(tbEquipe[[#This Row],[Nome]],tbFOPAG[[Nome]:[Cargo]],2,0),"&lt;Selecionar Nome&gt;")</f>
        <v>&lt;Selecionar Nome&gt;</v>
      </c>
      <c r="E733">
        <f>176*tbEquipe[[#This Row],[Alocação]]</f>
        <v>0</v>
      </c>
      <c r="F733" s="34"/>
      <c r="G7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3" s="1"/>
    </row>
    <row r="734" spans="2:8" hidden="1" x14ac:dyDescent="0.25">
      <c r="B734" s="25" t="str">
        <f>IFERROR(VLOOKUP(tbEquipe[[#This Row],[Nome]],tbFOPAG[[Nome]:[Cargo]],2,0),"&lt;Selecionar Nome&gt;")</f>
        <v>&lt;Selecionar Nome&gt;</v>
      </c>
      <c r="E734">
        <f>176*tbEquipe[[#This Row],[Alocação]]</f>
        <v>0</v>
      </c>
      <c r="F734" s="34"/>
      <c r="G7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4" s="1"/>
    </row>
    <row r="735" spans="2:8" hidden="1" x14ac:dyDescent="0.25">
      <c r="B735" s="25" t="str">
        <f>IFERROR(VLOOKUP(tbEquipe[[#This Row],[Nome]],tbFOPAG[[Nome]:[Cargo]],2,0),"&lt;Selecionar Nome&gt;")</f>
        <v>&lt;Selecionar Nome&gt;</v>
      </c>
      <c r="E735">
        <f>176*tbEquipe[[#This Row],[Alocação]]</f>
        <v>0</v>
      </c>
      <c r="F735" s="34"/>
      <c r="G7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5" s="1"/>
    </row>
    <row r="736" spans="2:8" hidden="1" x14ac:dyDescent="0.25">
      <c r="B736" s="25" t="str">
        <f>IFERROR(VLOOKUP(tbEquipe[[#This Row],[Nome]],tbFOPAG[[Nome]:[Cargo]],2,0),"&lt;Selecionar Nome&gt;")</f>
        <v>&lt;Selecionar Nome&gt;</v>
      </c>
      <c r="E736">
        <f>176*tbEquipe[[#This Row],[Alocação]]</f>
        <v>0</v>
      </c>
      <c r="F736" s="34"/>
      <c r="G7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6" s="1"/>
    </row>
    <row r="737" spans="2:8" hidden="1" x14ac:dyDescent="0.25">
      <c r="B737" s="25" t="str">
        <f>IFERROR(VLOOKUP(tbEquipe[[#This Row],[Nome]],tbFOPAG[[Nome]:[Cargo]],2,0),"&lt;Selecionar Nome&gt;")</f>
        <v>&lt;Selecionar Nome&gt;</v>
      </c>
      <c r="E737">
        <f>176*tbEquipe[[#This Row],[Alocação]]</f>
        <v>0</v>
      </c>
      <c r="F737" s="34"/>
      <c r="G7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7" s="1"/>
    </row>
    <row r="738" spans="2:8" hidden="1" x14ac:dyDescent="0.25">
      <c r="B738" s="25" t="str">
        <f>IFERROR(VLOOKUP(tbEquipe[[#This Row],[Nome]],tbFOPAG[[Nome]:[Cargo]],2,0),"&lt;Selecionar Nome&gt;")</f>
        <v>&lt;Selecionar Nome&gt;</v>
      </c>
      <c r="E738">
        <f>176*tbEquipe[[#This Row],[Alocação]]</f>
        <v>0</v>
      </c>
      <c r="F738" s="34"/>
      <c r="G7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8" s="1"/>
    </row>
    <row r="739" spans="2:8" hidden="1" x14ac:dyDescent="0.25">
      <c r="B739" s="25" t="str">
        <f>IFERROR(VLOOKUP(tbEquipe[[#This Row],[Nome]],tbFOPAG[[Nome]:[Cargo]],2,0),"&lt;Selecionar Nome&gt;")</f>
        <v>&lt;Selecionar Nome&gt;</v>
      </c>
      <c r="E739">
        <f>176*tbEquipe[[#This Row],[Alocação]]</f>
        <v>0</v>
      </c>
      <c r="F739" s="34"/>
      <c r="G7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39" s="1"/>
    </row>
    <row r="740" spans="2:8" hidden="1" x14ac:dyDescent="0.25">
      <c r="B740" s="25" t="str">
        <f>IFERROR(VLOOKUP(tbEquipe[[#This Row],[Nome]],tbFOPAG[[Nome]:[Cargo]],2,0),"&lt;Selecionar Nome&gt;")</f>
        <v>&lt;Selecionar Nome&gt;</v>
      </c>
      <c r="E740">
        <f>176*tbEquipe[[#This Row],[Alocação]]</f>
        <v>0</v>
      </c>
      <c r="F740" s="34"/>
      <c r="G7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0" s="1"/>
    </row>
    <row r="741" spans="2:8" hidden="1" x14ac:dyDescent="0.25">
      <c r="B741" s="25" t="str">
        <f>IFERROR(VLOOKUP(tbEquipe[[#This Row],[Nome]],tbFOPAG[[Nome]:[Cargo]],2,0),"&lt;Selecionar Nome&gt;")</f>
        <v>&lt;Selecionar Nome&gt;</v>
      </c>
      <c r="E741">
        <f>176*tbEquipe[[#This Row],[Alocação]]</f>
        <v>0</v>
      </c>
      <c r="F741" s="34"/>
      <c r="G7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1" s="1"/>
    </row>
    <row r="742" spans="2:8" hidden="1" x14ac:dyDescent="0.25">
      <c r="B742" s="25" t="str">
        <f>IFERROR(VLOOKUP(tbEquipe[[#This Row],[Nome]],tbFOPAG[[Nome]:[Cargo]],2,0),"&lt;Selecionar Nome&gt;")</f>
        <v>&lt;Selecionar Nome&gt;</v>
      </c>
      <c r="E742">
        <f>176*tbEquipe[[#This Row],[Alocação]]</f>
        <v>0</v>
      </c>
      <c r="F742" s="34"/>
      <c r="G7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2" s="1"/>
    </row>
    <row r="743" spans="2:8" hidden="1" x14ac:dyDescent="0.25">
      <c r="B743" s="25" t="str">
        <f>IFERROR(VLOOKUP(tbEquipe[[#This Row],[Nome]],tbFOPAG[[Nome]:[Cargo]],2,0),"&lt;Selecionar Nome&gt;")</f>
        <v>&lt;Selecionar Nome&gt;</v>
      </c>
      <c r="E743">
        <f>176*tbEquipe[[#This Row],[Alocação]]</f>
        <v>0</v>
      </c>
      <c r="F743" s="34"/>
      <c r="G7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3" s="1"/>
    </row>
    <row r="744" spans="2:8" hidden="1" x14ac:dyDescent="0.25">
      <c r="B744" s="25" t="str">
        <f>IFERROR(VLOOKUP(tbEquipe[[#This Row],[Nome]],tbFOPAG[[Nome]:[Cargo]],2,0),"&lt;Selecionar Nome&gt;")</f>
        <v>&lt;Selecionar Nome&gt;</v>
      </c>
      <c r="E744">
        <f>176*tbEquipe[[#This Row],[Alocação]]</f>
        <v>0</v>
      </c>
      <c r="F744" s="34"/>
      <c r="G7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4" s="1"/>
    </row>
    <row r="745" spans="2:8" hidden="1" x14ac:dyDescent="0.25">
      <c r="B745" s="25" t="str">
        <f>IFERROR(VLOOKUP(tbEquipe[[#This Row],[Nome]],tbFOPAG[[Nome]:[Cargo]],2,0),"&lt;Selecionar Nome&gt;")</f>
        <v>&lt;Selecionar Nome&gt;</v>
      </c>
      <c r="E745">
        <f>176*tbEquipe[[#This Row],[Alocação]]</f>
        <v>0</v>
      </c>
      <c r="F745" s="34"/>
      <c r="G7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5" s="1"/>
    </row>
    <row r="746" spans="2:8" hidden="1" x14ac:dyDescent="0.25">
      <c r="B746" s="25" t="str">
        <f>IFERROR(VLOOKUP(tbEquipe[[#This Row],[Nome]],tbFOPAG[[Nome]:[Cargo]],2,0),"&lt;Selecionar Nome&gt;")</f>
        <v>&lt;Selecionar Nome&gt;</v>
      </c>
      <c r="E746">
        <f>176*tbEquipe[[#This Row],[Alocação]]</f>
        <v>0</v>
      </c>
      <c r="F746" s="34"/>
      <c r="G7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6" s="1"/>
    </row>
    <row r="747" spans="2:8" hidden="1" x14ac:dyDescent="0.25">
      <c r="B747" s="25" t="str">
        <f>IFERROR(VLOOKUP(tbEquipe[[#This Row],[Nome]],tbFOPAG[[Nome]:[Cargo]],2,0),"&lt;Selecionar Nome&gt;")</f>
        <v>&lt;Selecionar Nome&gt;</v>
      </c>
      <c r="E747">
        <f>176*tbEquipe[[#This Row],[Alocação]]</f>
        <v>0</v>
      </c>
      <c r="F747" s="34"/>
      <c r="G7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7" s="1"/>
    </row>
    <row r="748" spans="2:8" hidden="1" x14ac:dyDescent="0.25">
      <c r="B748" s="25" t="str">
        <f>IFERROR(VLOOKUP(tbEquipe[[#This Row],[Nome]],tbFOPAG[[Nome]:[Cargo]],2,0),"&lt;Selecionar Nome&gt;")</f>
        <v>&lt;Selecionar Nome&gt;</v>
      </c>
      <c r="E748">
        <f>176*tbEquipe[[#This Row],[Alocação]]</f>
        <v>0</v>
      </c>
      <c r="F748" s="34"/>
      <c r="G7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8" s="1"/>
    </row>
    <row r="749" spans="2:8" hidden="1" x14ac:dyDescent="0.25">
      <c r="B749" s="25" t="str">
        <f>IFERROR(VLOOKUP(tbEquipe[[#This Row],[Nome]],tbFOPAG[[Nome]:[Cargo]],2,0),"&lt;Selecionar Nome&gt;")</f>
        <v>&lt;Selecionar Nome&gt;</v>
      </c>
      <c r="E749">
        <f>176*tbEquipe[[#This Row],[Alocação]]</f>
        <v>0</v>
      </c>
      <c r="F749" s="34"/>
      <c r="G7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49" s="1"/>
    </row>
    <row r="750" spans="2:8" hidden="1" x14ac:dyDescent="0.25">
      <c r="B750" s="25" t="str">
        <f>IFERROR(VLOOKUP(tbEquipe[[#This Row],[Nome]],tbFOPAG[[Nome]:[Cargo]],2,0),"&lt;Selecionar Nome&gt;")</f>
        <v>&lt;Selecionar Nome&gt;</v>
      </c>
      <c r="E750">
        <f>176*tbEquipe[[#This Row],[Alocação]]</f>
        <v>0</v>
      </c>
      <c r="F750" s="34"/>
      <c r="G7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0" s="1"/>
    </row>
    <row r="751" spans="2:8" hidden="1" x14ac:dyDescent="0.25">
      <c r="B751" s="25" t="str">
        <f>IFERROR(VLOOKUP(tbEquipe[[#This Row],[Nome]],tbFOPAG[[Nome]:[Cargo]],2,0),"&lt;Selecionar Nome&gt;")</f>
        <v>&lt;Selecionar Nome&gt;</v>
      </c>
      <c r="E751">
        <f>176*tbEquipe[[#This Row],[Alocação]]</f>
        <v>0</v>
      </c>
      <c r="F751" s="34"/>
      <c r="G7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1" s="1"/>
    </row>
    <row r="752" spans="2:8" hidden="1" x14ac:dyDescent="0.25">
      <c r="B752" s="25" t="str">
        <f>IFERROR(VLOOKUP(tbEquipe[[#This Row],[Nome]],tbFOPAG[[Nome]:[Cargo]],2,0),"&lt;Selecionar Nome&gt;")</f>
        <v>&lt;Selecionar Nome&gt;</v>
      </c>
      <c r="E752">
        <f>176*tbEquipe[[#This Row],[Alocação]]</f>
        <v>0</v>
      </c>
      <c r="F752" s="34"/>
      <c r="G7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2" s="1"/>
    </row>
    <row r="753" spans="2:8" hidden="1" x14ac:dyDescent="0.25">
      <c r="B753" s="25" t="str">
        <f>IFERROR(VLOOKUP(tbEquipe[[#This Row],[Nome]],tbFOPAG[[Nome]:[Cargo]],2,0),"&lt;Selecionar Nome&gt;")</f>
        <v>&lt;Selecionar Nome&gt;</v>
      </c>
      <c r="E753">
        <f>176*tbEquipe[[#This Row],[Alocação]]</f>
        <v>0</v>
      </c>
      <c r="F753" s="34"/>
      <c r="G7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3" s="1"/>
    </row>
    <row r="754" spans="2:8" hidden="1" x14ac:dyDescent="0.25">
      <c r="B754" s="25" t="str">
        <f>IFERROR(VLOOKUP(tbEquipe[[#This Row],[Nome]],tbFOPAG[[Nome]:[Cargo]],2,0),"&lt;Selecionar Nome&gt;")</f>
        <v>&lt;Selecionar Nome&gt;</v>
      </c>
      <c r="E754">
        <f>176*tbEquipe[[#This Row],[Alocação]]</f>
        <v>0</v>
      </c>
      <c r="F754" s="34"/>
      <c r="G7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4" s="1"/>
    </row>
    <row r="755" spans="2:8" hidden="1" x14ac:dyDescent="0.25">
      <c r="B755" s="25" t="str">
        <f>IFERROR(VLOOKUP(tbEquipe[[#This Row],[Nome]],tbFOPAG[[Nome]:[Cargo]],2,0),"&lt;Selecionar Nome&gt;")</f>
        <v>&lt;Selecionar Nome&gt;</v>
      </c>
      <c r="E755">
        <f>176*tbEquipe[[#This Row],[Alocação]]</f>
        <v>0</v>
      </c>
      <c r="F755" s="34"/>
      <c r="G7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5" s="1"/>
    </row>
    <row r="756" spans="2:8" hidden="1" x14ac:dyDescent="0.25">
      <c r="B756" s="25" t="str">
        <f>IFERROR(VLOOKUP(tbEquipe[[#This Row],[Nome]],tbFOPAG[[Nome]:[Cargo]],2,0),"&lt;Selecionar Nome&gt;")</f>
        <v>&lt;Selecionar Nome&gt;</v>
      </c>
      <c r="E756">
        <f>176*tbEquipe[[#This Row],[Alocação]]</f>
        <v>0</v>
      </c>
      <c r="F756" s="34"/>
      <c r="G7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6" s="1"/>
    </row>
    <row r="757" spans="2:8" hidden="1" x14ac:dyDescent="0.25">
      <c r="B757" s="25" t="str">
        <f>IFERROR(VLOOKUP(tbEquipe[[#This Row],[Nome]],tbFOPAG[[Nome]:[Cargo]],2,0),"&lt;Selecionar Nome&gt;")</f>
        <v>&lt;Selecionar Nome&gt;</v>
      </c>
      <c r="E757">
        <f>176*tbEquipe[[#This Row],[Alocação]]</f>
        <v>0</v>
      </c>
      <c r="F757" s="34"/>
      <c r="G7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7" s="1"/>
    </row>
    <row r="758" spans="2:8" hidden="1" x14ac:dyDescent="0.25">
      <c r="B758" s="25" t="str">
        <f>IFERROR(VLOOKUP(tbEquipe[[#This Row],[Nome]],tbFOPAG[[Nome]:[Cargo]],2,0),"&lt;Selecionar Nome&gt;")</f>
        <v>&lt;Selecionar Nome&gt;</v>
      </c>
      <c r="E758">
        <f>176*tbEquipe[[#This Row],[Alocação]]</f>
        <v>0</v>
      </c>
      <c r="F758" s="34"/>
      <c r="G7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8" s="1"/>
    </row>
    <row r="759" spans="2:8" hidden="1" x14ac:dyDescent="0.25">
      <c r="B759" s="25" t="str">
        <f>IFERROR(VLOOKUP(tbEquipe[[#This Row],[Nome]],tbFOPAG[[Nome]:[Cargo]],2,0),"&lt;Selecionar Nome&gt;")</f>
        <v>&lt;Selecionar Nome&gt;</v>
      </c>
      <c r="E759">
        <f>176*tbEquipe[[#This Row],[Alocação]]</f>
        <v>0</v>
      </c>
      <c r="F759" s="34"/>
      <c r="G7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59" s="1"/>
    </row>
    <row r="760" spans="2:8" hidden="1" x14ac:dyDescent="0.25">
      <c r="B760" s="25" t="str">
        <f>IFERROR(VLOOKUP(tbEquipe[[#This Row],[Nome]],tbFOPAG[[Nome]:[Cargo]],2,0),"&lt;Selecionar Nome&gt;")</f>
        <v>&lt;Selecionar Nome&gt;</v>
      </c>
      <c r="E760">
        <f>176*tbEquipe[[#This Row],[Alocação]]</f>
        <v>0</v>
      </c>
      <c r="F760" s="34"/>
      <c r="G7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0" s="1"/>
    </row>
    <row r="761" spans="2:8" hidden="1" x14ac:dyDescent="0.25">
      <c r="B761" s="25" t="str">
        <f>IFERROR(VLOOKUP(tbEquipe[[#This Row],[Nome]],tbFOPAG[[Nome]:[Cargo]],2,0),"&lt;Selecionar Nome&gt;")</f>
        <v>&lt;Selecionar Nome&gt;</v>
      </c>
      <c r="E761">
        <f>176*tbEquipe[[#This Row],[Alocação]]</f>
        <v>0</v>
      </c>
      <c r="F761" s="34"/>
      <c r="G7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1" s="1"/>
    </row>
    <row r="762" spans="2:8" hidden="1" x14ac:dyDescent="0.25">
      <c r="B762" s="25" t="str">
        <f>IFERROR(VLOOKUP(tbEquipe[[#This Row],[Nome]],tbFOPAG[[Nome]:[Cargo]],2,0),"&lt;Selecionar Nome&gt;")</f>
        <v>&lt;Selecionar Nome&gt;</v>
      </c>
      <c r="E762">
        <f>176*tbEquipe[[#This Row],[Alocação]]</f>
        <v>0</v>
      </c>
      <c r="F762" s="34"/>
      <c r="G7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2" s="1"/>
    </row>
    <row r="763" spans="2:8" hidden="1" x14ac:dyDescent="0.25">
      <c r="B763" s="25" t="str">
        <f>IFERROR(VLOOKUP(tbEquipe[[#This Row],[Nome]],tbFOPAG[[Nome]:[Cargo]],2,0),"&lt;Selecionar Nome&gt;")</f>
        <v>&lt;Selecionar Nome&gt;</v>
      </c>
      <c r="E763">
        <f>176*tbEquipe[[#This Row],[Alocação]]</f>
        <v>0</v>
      </c>
      <c r="F763" s="34"/>
      <c r="G7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3" s="1"/>
    </row>
    <row r="764" spans="2:8" hidden="1" x14ac:dyDescent="0.25">
      <c r="B764" s="25" t="str">
        <f>IFERROR(VLOOKUP(tbEquipe[[#This Row],[Nome]],tbFOPAG[[Nome]:[Cargo]],2,0),"&lt;Selecionar Nome&gt;")</f>
        <v>&lt;Selecionar Nome&gt;</v>
      </c>
      <c r="E764">
        <f>176*tbEquipe[[#This Row],[Alocação]]</f>
        <v>0</v>
      </c>
      <c r="F764" s="34"/>
      <c r="G7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4" s="1"/>
    </row>
    <row r="765" spans="2:8" hidden="1" x14ac:dyDescent="0.25">
      <c r="B765" s="25" t="str">
        <f>IFERROR(VLOOKUP(tbEquipe[[#This Row],[Nome]],tbFOPAG[[Nome]:[Cargo]],2,0),"&lt;Selecionar Nome&gt;")</f>
        <v>&lt;Selecionar Nome&gt;</v>
      </c>
      <c r="E765">
        <f>176*tbEquipe[[#This Row],[Alocação]]</f>
        <v>0</v>
      </c>
      <c r="F765" s="34"/>
      <c r="G7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5" s="1"/>
    </row>
    <row r="766" spans="2:8" hidden="1" x14ac:dyDescent="0.25">
      <c r="B766" s="25" t="str">
        <f>IFERROR(VLOOKUP(tbEquipe[[#This Row],[Nome]],tbFOPAG[[Nome]:[Cargo]],2,0),"&lt;Selecionar Nome&gt;")</f>
        <v>&lt;Selecionar Nome&gt;</v>
      </c>
      <c r="E766">
        <f>176*tbEquipe[[#This Row],[Alocação]]</f>
        <v>0</v>
      </c>
      <c r="F766" s="34"/>
      <c r="G7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6" s="1"/>
    </row>
    <row r="767" spans="2:8" hidden="1" x14ac:dyDescent="0.25">
      <c r="B767" s="25" t="str">
        <f>IFERROR(VLOOKUP(tbEquipe[[#This Row],[Nome]],tbFOPAG[[Nome]:[Cargo]],2,0),"&lt;Selecionar Nome&gt;")</f>
        <v>&lt;Selecionar Nome&gt;</v>
      </c>
      <c r="E767">
        <f>176*tbEquipe[[#This Row],[Alocação]]</f>
        <v>0</v>
      </c>
      <c r="F767" s="34"/>
      <c r="G7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7" s="1"/>
    </row>
    <row r="768" spans="2:8" hidden="1" x14ac:dyDescent="0.25">
      <c r="B768" s="25" t="str">
        <f>IFERROR(VLOOKUP(tbEquipe[[#This Row],[Nome]],tbFOPAG[[Nome]:[Cargo]],2,0),"&lt;Selecionar Nome&gt;")</f>
        <v>&lt;Selecionar Nome&gt;</v>
      </c>
      <c r="E768">
        <f>176*tbEquipe[[#This Row],[Alocação]]</f>
        <v>0</v>
      </c>
      <c r="F768" s="34"/>
      <c r="G7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8" s="1"/>
    </row>
    <row r="769" spans="2:8" hidden="1" x14ac:dyDescent="0.25">
      <c r="B769" s="25" t="str">
        <f>IFERROR(VLOOKUP(tbEquipe[[#This Row],[Nome]],tbFOPAG[[Nome]:[Cargo]],2,0),"&lt;Selecionar Nome&gt;")</f>
        <v>&lt;Selecionar Nome&gt;</v>
      </c>
      <c r="E769">
        <f>176*tbEquipe[[#This Row],[Alocação]]</f>
        <v>0</v>
      </c>
      <c r="F769" s="34"/>
      <c r="G7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69" s="1"/>
    </row>
    <row r="770" spans="2:8" hidden="1" x14ac:dyDescent="0.25">
      <c r="B770" s="25" t="str">
        <f>IFERROR(VLOOKUP(tbEquipe[[#This Row],[Nome]],tbFOPAG[[Nome]:[Cargo]],2,0),"&lt;Selecionar Nome&gt;")</f>
        <v>&lt;Selecionar Nome&gt;</v>
      </c>
      <c r="E770">
        <f>176*tbEquipe[[#This Row],[Alocação]]</f>
        <v>0</v>
      </c>
      <c r="F770" s="34"/>
      <c r="G7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0" s="1"/>
    </row>
    <row r="771" spans="2:8" hidden="1" x14ac:dyDescent="0.25">
      <c r="B771" s="25" t="str">
        <f>IFERROR(VLOOKUP(tbEquipe[[#This Row],[Nome]],tbFOPAG[[Nome]:[Cargo]],2,0),"&lt;Selecionar Nome&gt;")</f>
        <v>&lt;Selecionar Nome&gt;</v>
      </c>
      <c r="E771">
        <f>176*tbEquipe[[#This Row],[Alocação]]</f>
        <v>0</v>
      </c>
      <c r="F771" s="34"/>
      <c r="G7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1" s="1"/>
    </row>
    <row r="772" spans="2:8" hidden="1" x14ac:dyDescent="0.25">
      <c r="B772" s="25" t="str">
        <f>IFERROR(VLOOKUP(tbEquipe[[#This Row],[Nome]],tbFOPAG[[Nome]:[Cargo]],2,0),"&lt;Selecionar Nome&gt;")</f>
        <v>&lt;Selecionar Nome&gt;</v>
      </c>
      <c r="E772">
        <f>176*tbEquipe[[#This Row],[Alocação]]</f>
        <v>0</v>
      </c>
      <c r="F772" s="34"/>
      <c r="G7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2" s="1"/>
    </row>
    <row r="773" spans="2:8" hidden="1" x14ac:dyDescent="0.25">
      <c r="B773" s="25" t="str">
        <f>IFERROR(VLOOKUP(tbEquipe[[#This Row],[Nome]],tbFOPAG[[Nome]:[Cargo]],2,0),"&lt;Selecionar Nome&gt;")</f>
        <v>&lt;Selecionar Nome&gt;</v>
      </c>
      <c r="E773">
        <f>176*tbEquipe[[#This Row],[Alocação]]</f>
        <v>0</v>
      </c>
      <c r="F773" s="34"/>
      <c r="G7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3" s="1"/>
    </row>
    <row r="774" spans="2:8" hidden="1" x14ac:dyDescent="0.25">
      <c r="B774" s="25" t="str">
        <f>IFERROR(VLOOKUP(tbEquipe[[#This Row],[Nome]],tbFOPAG[[Nome]:[Cargo]],2,0),"&lt;Selecionar Nome&gt;")</f>
        <v>&lt;Selecionar Nome&gt;</v>
      </c>
      <c r="E774">
        <f>176*tbEquipe[[#This Row],[Alocação]]</f>
        <v>0</v>
      </c>
      <c r="F774" s="34"/>
      <c r="G7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4" s="1"/>
    </row>
    <row r="775" spans="2:8" hidden="1" x14ac:dyDescent="0.25">
      <c r="B775" s="25" t="str">
        <f>IFERROR(VLOOKUP(tbEquipe[[#This Row],[Nome]],tbFOPAG[[Nome]:[Cargo]],2,0),"&lt;Selecionar Nome&gt;")</f>
        <v>&lt;Selecionar Nome&gt;</v>
      </c>
      <c r="E775">
        <f>176*tbEquipe[[#This Row],[Alocação]]</f>
        <v>0</v>
      </c>
      <c r="F775" s="34"/>
      <c r="G7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5" s="1"/>
    </row>
    <row r="776" spans="2:8" hidden="1" x14ac:dyDescent="0.25">
      <c r="B776" s="25" t="str">
        <f>IFERROR(VLOOKUP(tbEquipe[[#This Row],[Nome]],tbFOPAG[[Nome]:[Cargo]],2,0),"&lt;Selecionar Nome&gt;")</f>
        <v>&lt;Selecionar Nome&gt;</v>
      </c>
      <c r="E776">
        <f>176*tbEquipe[[#This Row],[Alocação]]</f>
        <v>0</v>
      </c>
      <c r="F776" s="34"/>
      <c r="G7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6" s="1"/>
    </row>
    <row r="777" spans="2:8" hidden="1" x14ac:dyDescent="0.25">
      <c r="B777" s="25" t="str">
        <f>IFERROR(VLOOKUP(tbEquipe[[#This Row],[Nome]],tbFOPAG[[Nome]:[Cargo]],2,0),"&lt;Selecionar Nome&gt;")</f>
        <v>&lt;Selecionar Nome&gt;</v>
      </c>
      <c r="E777">
        <f>176*tbEquipe[[#This Row],[Alocação]]</f>
        <v>0</v>
      </c>
      <c r="F777" s="34"/>
      <c r="G7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7" s="1"/>
    </row>
    <row r="778" spans="2:8" hidden="1" x14ac:dyDescent="0.25">
      <c r="B778" s="25" t="str">
        <f>IFERROR(VLOOKUP(tbEquipe[[#This Row],[Nome]],tbFOPAG[[Nome]:[Cargo]],2,0),"&lt;Selecionar Nome&gt;")</f>
        <v>&lt;Selecionar Nome&gt;</v>
      </c>
      <c r="E778">
        <f>176*tbEquipe[[#This Row],[Alocação]]</f>
        <v>0</v>
      </c>
      <c r="F778" s="34"/>
      <c r="G7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8" s="1"/>
    </row>
    <row r="779" spans="2:8" hidden="1" x14ac:dyDescent="0.25">
      <c r="B779" s="25" t="str">
        <f>IFERROR(VLOOKUP(tbEquipe[[#This Row],[Nome]],tbFOPAG[[Nome]:[Cargo]],2,0),"&lt;Selecionar Nome&gt;")</f>
        <v>&lt;Selecionar Nome&gt;</v>
      </c>
      <c r="E779">
        <f>176*tbEquipe[[#This Row],[Alocação]]</f>
        <v>0</v>
      </c>
      <c r="F779" s="34"/>
      <c r="G7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79" s="1"/>
    </row>
    <row r="780" spans="2:8" hidden="1" x14ac:dyDescent="0.25">
      <c r="B780" s="25" t="str">
        <f>IFERROR(VLOOKUP(tbEquipe[[#This Row],[Nome]],tbFOPAG[[Nome]:[Cargo]],2,0),"&lt;Selecionar Nome&gt;")</f>
        <v>&lt;Selecionar Nome&gt;</v>
      </c>
      <c r="E780">
        <f>176*tbEquipe[[#This Row],[Alocação]]</f>
        <v>0</v>
      </c>
      <c r="F780" s="34"/>
      <c r="G7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0" s="1"/>
    </row>
    <row r="781" spans="2:8" hidden="1" x14ac:dyDescent="0.25">
      <c r="B781" s="25" t="str">
        <f>IFERROR(VLOOKUP(tbEquipe[[#This Row],[Nome]],tbFOPAG[[Nome]:[Cargo]],2,0),"&lt;Selecionar Nome&gt;")</f>
        <v>&lt;Selecionar Nome&gt;</v>
      </c>
      <c r="E781">
        <f>176*tbEquipe[[#This Row],[Alocação]]</f>
        <v>0</v>
      </c>
      <c r="F781" s="34"/>
      <c r="G7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1" s="1"/>
    </row>
    <row r="782" spans="2:8" hidden="1" x14ac:dyDescent="0.25">
      <c r="B782" s="25" t="str">
        <f>IFERROR(VLOOKUP(tbEquipe[[#This Row],[Nome]],tbFOPAG[[Nome]:[Cargo]],2,0),"&lt;Selecionar Nome&gt;")</f>
        <v>&lt;Selecionar Nome&gt;</v>
      </c>
      <c r="E782">
        <f>176*tbEquipe[[#This Row],[Alocação]]</f>
        <v>0</v>
      </c>
      <c r="F782" s="34"/>
      <c r="G7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2" s="1"/>
    </row>
    <row r="783" spans="2:8" hidden="1" x14ac:dyDescent="0.25">
      <c r="B783" s="25" t="str">
        <f>IFERROR(VLOOKUP(tbEquipe[[#This Row],[Nome]],tbFOPAG[[Nome]:[Cargo]],2,0),"&lt;Selecionar Nome&gt;")</f>
        <v>&lt;Selecionar Nome&gt;</v>
      </c>
      <c r="E783">
        <f>176*tbEquipe[[#This Row],[Alocação]]</f>
        <v>0</v>
      </c>
      <c r="F783" s="34"/>
      <c r="G7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3" s="1"/>
    </row>
    <row r="784" spans="2:8" hidden="1" x14ac:dyDescent="0.25">
      <c r="B784" s="25" t="str">
        <f>IFERROR(VLOOKUP(tbEquipe[[#This Row],[Nome]],tbFOPAG[[Nome]:[Cargo]],2,0),"&lt;Selecionar Nome&gt;")</f>
        <v>&lt;Selecionar Nome&gt;</v>
      </c>
      <c r="E784">
        <f>176*tbEquipe[[#This Row],[Alocação]]</f>
        <v>0</v>
      </c>
      <c r="F784" s="34"/>
      <c r="G7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4" s="1"/>
    </row>
    <row r="785" spans="2:8" hidden="1" x14ac:dyDescent="0.25">
      <c r="B785" s="25" t="str">
        <f>IFERROR(VLOOKUP(tbEquipe[[#This Row],[Nome]],tbFOPAG[[Nome]:[Cargo]],2,0),"&lt;Selecionar Nome&gt;")</f>
        <v>&lt;Selecionar Nome&gt;</v>
      </c>
      <c r="E785">
        <f>176*tbEquipe[[#This Row],[Alocação]]</f>
        <v>0</v>
      </c>
      <c r="F785" s="34"/>
      <c r="G7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5" s="1"/>
    </row>
    <row r="786" spans="2:8" hidden="1" x14ac:dyDescent="0.25">
      <c r="B786" s="25" t="str">
        <f>IFERROR(VLOOKUP(tbEquipe[[#This Row],[Nome]],tbFOPAG[[Nome]:[Cargo]],2,0),"&lt;Selecionar Nome&gt;")</f>
        <v>&lt;Selecionar Nome&gt;</v>
      </c>
      <c r="E786">
        <f>176*tbEquipe[[#This Row],[Alocação]]</f>
        <v>0</v>
      </c>
      <c r="F786" s="34"/>
      <c r="G7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6" s="1"/>
    </row>
    <row r="787" spans="2:8" hidden="1" x14ac:dyDescent="0.25">
      <c r="B787" s="25" t="str">
        <f>IFERROR(VLOOKUP(tbEquipe[[#This Row],[Nome]],tbFOPAG[[Nome]:[Cargo]],2,0),"&lt;Selecionar Nome&gt;")</f>
        <v>&lt;Selecionar Nome&gt;</v>
      </c>
      <c r="E787">
        <f>176*tbEquipe[[#This Row],[Alocação]]</f>
        <v>0</v>
      </c>
      <c r="F787" s="34"/>
      <c r="G7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7" s="1"/>
    </row>
    <row r="788" spans="2:8" hidden="1" x14ac:dyDescent="0.25">
      <c r="B788" s="25" t="str">
        <f>IFERROR(VLOOKUP(tbEquipe[[#This Row],[Nome]],tbFOPAG[[Nome]:[Cargo]],2,0),"&lt;Selecionar Nome&gt;")</f>
        <v>&lt;Selecionar Nome&gt;</v>
      </c>
      <c r="E788">
        <f>176*tbEquipe[[#This Row],[Alocação]]</f>
        <v>0</v>
      </c>
      <c r="F788" s="34"/>
      <c r="G7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8" s="1"/>
    </row>
    <row r="789" spans="2:8" hidden="1" x14ac:dyDescent="0.25">
      <c r="B789" s="25" t="str">
        <f>IFERROR(VLOOKUP(tbEquipe[[#This Row],[Nome]],tbFOPAG[[Nome]:[Cargo]],2,0),"&lt;Selecionar Nome&gt;")</f>
        <v>&lt;Selecionar Nome&gt;</v>
      </c>
      <c r="E789">
        <f>176*tbEquipe[[#This Row],[Alocação]]</f>
        <v>0</v>
      </c>
      <c r="F789" s="34"/>
      <c r="G7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89" s="1"/>
    </row>
    <row r="790" spans="2:8" hidden="1" x14ac:dyDescent="0.25">
      <c r="B790" s="25" t="str">
        <f>IFERROR(VLOOKUP(tbEquipe[[#This Row],[Nome]],tbFOPAG[[Nome]:[Cargo]],2,0),"&lt;Selecionar Nome&gt;")</f>
        <v>&lt;Selecionar Nome&gt;</v>
      </c>
      <c r="E790">
        <f>176*tbEquipe[[#This Row],[Alocação]]</f>
        <v>0</v>
      </c>
      <c r="F790" s="34"/>
      <c r="G7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0" s="1"/>
    </row>
    <row r="791" spans="2:8" hidden="1" x14ac:dyDescent="0.25">
      <c r="B791" s="25" t="str">
        <f>IFERROR(VLOOKUP(tbEquipe[[#This Row],[Nome]],tbFOPAG[[Nome]:[Cargo]],2,0),"&lt;Selecionar Nome&gt;")</f>
        <v>&lt;Selecionar Nome&gt;</v>
      </c>
      <c r="E791">
        <f>176*tbEquipe[[#This Row],[Alocação]]</f>
        <v>0</v>
      </c>
      <c r="F791" s="34"/>
      <c r="G7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1" s="1"/>
    </row>
    <row r="792" spans="2:8" hidden="1" x14ac:dyDescent="0.25">
      <c r="B792" s="25" t="str">
        <f>IFERROR(VLOOKUP(tbEquipe[[#This Row],[Nome]],tbFOPAG[[Nome]:[Cargo]],2,0),"&lt;Selecionar Nome&gt;")</f>
        <v>&lt;Selecionar Nome&gt;</v>
      </c>
      <c r="E792">
        <f>176*tbEquipe[[#This Row],[Alocação]]</f>
        <v>0</v>
      </c>
      <c r="F792" s="34"/>
      <c r="G7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2" s="1"/>
    </row>
    <row r="793" spans="2:8" hidden="1" x14ac:dyDescent="0.25">
      <c r="B793" s="25" t="str">
        <f>IFERROR(VLOOKUP(tbEquipe[[#This Row],[Nome]],tbFOPAG[[Nome]:[Cargo]],2,0),"&lt;Selecionar Nome&gt;")</f>
        <v>&lt;Selecionar Nome&gt;</v>
      </c>
      <c r="E793">
        <f>176*tbEquipe[[#This Row],[Alocação]]</f>
        <v>0</v>
      </c>
      <c r="F793" s="34"/>
      <c r="G7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3" s="1"/>
    </row>
    <row r="794" spans="2:8" hidden="1" x14ac:dyDescent="0.25">
      <c r="B794" s="25" t="str">
        <f>IFERROR(VLOOKUP(tbEquipe[[#This Row],[Nome]],tbFOPAG[[Nome]:[Cargo]],2,0),"&lt;Selecionar Nome&gt;")</f>
        <v>&lt;Selecionar Nome&gt;</v>
      </c>
      <c r="E794">
        <f>176*tbEquipe[[#This Row],[Alocação]]</f>
        <v>0</v>
      </c>
      <c r="F794" s="34"/>
      <c r="G7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4" s="1"/>
    </row>
    <row r="795" spans="2:8" hidden="1" x14ac:dyDescent="0.25">
      <c r="B795" s="25" t="str">
        <f>IFERROR(VLOOKUP(tbEquipe[[#This Row],[Nome]],tbFOPAG[[Nome]:[Cargo]],2,0),"&lt;Selecionar Nome&gt;")</f>
        <v>&lt;Selecionar Nome&gt;</v>
      </c>
      <c r="E795">
        <f>176*tbEquipe[[#This Row],[Alocação]]</f>
        <v>0</v>
      </c>
      <c r="F795" s="34"/>
      <c r="G7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5" s="1"/>
    </row>
    <row r="796" spans="2:8" hidden="1" x14ac:dyDescent="0.25">
      <c r="B796" s="25" t="str">
        <f>IFERROR(VLOOKUP(tbEquipe[[#This Row],[Nome]],tbFOPAG[[Nome]:[Cargo]],2,0),"&lt;Selecionar Nome&gt;")</f>
        <v>&lt;Selecionar Nome&gt;</v>
      </c>
      <c r="E796">
        <f>176*tbEquipe[[#This Row],[Alocação]]</f>
        <v>0</v>
      </c>
      <c r="F796" s="34"/>
      <c r="G7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6" s="1"/>
    </row>
    <row r="797" spans="2:8" hidden="1" x14ac:dyDescent="0.25">
      <c r="B797" s="25" t="str">
        <f>IFERROR(VLOOKUP(tbEquipe[[#This Row],[Nome]],tbFOPAG[[Nome]:[Cargo]],2,0),"&lt;Selecionar Nome&gt;")</f>
        <v>&lt;Selecionar Nome&gt;</v>
      </c>
      <c r="E797">
        <f>176*tbEquipe[[#This Row],[Alocação]]</f>
        <v>0</v>
      </c>
      <c r="F797" s="34"/>
      <c r="G7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7" s="1"/>
    </row>
    <row r="798" spans="2:8" hidden="1" x14ac:dyDescent="0.25">
      <c r="B798" s="25" t="str">
        <f>IFERROR(VLOOKUP(tbEquipe[[#This Row],[Nome]],tbFOPAG[[Nome]:[Cargo]],2,0),"&lt;Selecionar Nome&gt;")</f>
        <v>&lt;Selecionar Nome&gt;</v>
      </c>
      <c r="E798">
        <f>176*tbEquipe[[#This Row],[Alocação]]</f>
        <v>0</v>
      </c>
      <c r="F798" s="34"/>
      <c r="G7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8" s="1"/>
    </row>
    <row r="799" spans="2:8" hidden="1" x14ac:dyDescent="0.25">
      <c r="B799" s="25" t="str">
        <f>IFERROR(VLOOKUP(tbEquipe[[#This Row],[Nome]],tbFOPAG[[Nome]:[Cargo]],2,0),"&lt;Selecionar Nome&gt;")</f>
        <v>&lt;Selecionar Nome&gt;</v>
      </c>
      <c r="E799">
        <f>176*tbEquipe[[#This Row],[Alocação]]</f>
        <v>0</v>
      </c>
      <c r="F799" s="34"/>
      <c r="G7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799" s="1"/>
    </row>
    <row r="800" spans="2:8" hidden="1" x14ac:dyDescent="0.25">
      <c r="B800" s="25" t="str">
        <f>IFERROR(VLOOKUP(tbEquipe[[#This Row],[Nome]],tbFOPAG[[Nome]:[Cargo]],2,0),"&lt;Selecionar Nome&gt;")</f>
        <v>&lt;Selecionar Nome&gt;</v>
      </c>
      <c r="E800">
        <f>176*tbEquipe[[#This Row],[Alocação]]</f>
        <v>0</v>
      </c>
      <c r="F800" s="34"/>
      <c r="G8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0" s="1"/>
    </row>
    <row r="801" spans="2:8" hidden="1" x14ac:dyDescent="0.25">
      <c r="B801" s="25" t="str">
        <f>IFERROR(VLOOKUP(tbEquipe[[#This Row],[Nome]],tbFOPAG[[Nome]:[Cargo]],2,0),"&lt;Selecionar Nome&gt;")</f>
        <v>&lt;Selecionar Nome&gt;</v>
      </c>
      <c r="E801">
        <f>176*tbEquipe[[#This Row],[Alocação]]</f>
        <v>0</v>
      </c>
      <c r="F801" s="34"/>
      <c r="G8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1" s="1"/>
    </row>
    <row r="802" spans="2:8" hidden="1" x14ac:dyDescent="0.25">
      <c r="B802" s="25" t="str">
        <f>IFERROR(VLOOKUP(tbEquipe[[#This Row],[Nome]],tbFOPAG[[Nome]:[Cargo]],2,0),"&lt;Selecionar Nome&gt;")</f>
        <v>&lt;Selecionar Nome&gt;</v>
      </c>
      <c r="E802">
        <f>176*tbEquipe[[#This Row],[Alocação]]</f>
        <v>0</v>
      </c>
      <c r="F802" s="34"/>
      <c r="G8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2" s="1"/>
    </row>
    <row r="803" spans="2:8" hidden="1" x14ac:dyDescent="0.25">
      <c r="B803" s="25" t="str">
        <f>IFERROR(VLOOKUP(tbEquipe[[#This Row],[Nome]],tbFOPAG[[Nome]:[Cargo]],2,0),"&lt;Selecionar Nome&gt;")</f>
        <v>&lt;Selecionar Nome&gt;</v>
      </c>
      <c r="E803">
        <f>176*tbEquipe[[#This Row],[Alocação]]</f>
        <v>0</v>
      </c>
      <c r="F803" s="34"/>
      <c r="G8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3" s="1"/>
    </row>
    <row r="804" spans="2:8" hidden="1" x14ac:dyDescent="0.25">
      <c r="B804" s="25" t="str">
        <f>IFERROR(VLOOKUP(tbEquipe[[#This Row],[Nome]],tbFOPAG[[Nome]:[Cargo]],2,0),"&lt;Selecionar Nome&gt;")</f>
        <v>&lt;Selecionar Nome&gt;</v>
      </c>
      <c r="E804">
        <f>176*tbEquipe[[#This Row],[Alocação]]</f>
        <v>0</v>
      </c>
      <c r="F804" s="34"/>
      <c r="G8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4" s="1"/>
    </row>
    <row r="805" spans="2:8" hidden="1" x14ac:dyDescent="0.25">
      <c r="B805" s="25" t="str">
        <f>IFERROR(VLOOKUP(tbEquipe[[#This Row],[Nome]],tbFOPAG[[Nome]:[Cargo]],2,0),"&lt;Selecionar Nome&gt;")</f>
        <v>&lt;Selecionar Nome&gt;</v>
      </c>
      <c r="E805">
        <f>176*tbEquipe[[#This Row],[Alocação]]</f>
        <v>0</v>
      </c>
      <c r="F805" s="34"/>
      <c r="G8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5" s="1"/>
    </row>
    <row r="806" spans="2:8" hidden="1" x14ac:dyDescent="0.25">
      <c r="B806" s="25" t="str">
        <f>IFERROR(VLOOKUP(tbEquipe[[#This Row],[Nome]],tbFOPAG[[Nome]:[Cargo]],2,0),"&lt;Selecionar Nome&gt;")</f>
        <v>&lt;Selecionar Nome&gt;</v>
      </c>
      <c r="E806">
        <f>176*tbEquipe[[#This Row],[Alocação]]</f>
        <v>0</v>
      </c>
      <c r="F806" s="34"/>
      <c r="G8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6" s="1"/>
    </row>
    <row r="807" spans="2:8" hidden="1" x14ac:dyDescent="0.25">
      <c r="B807" s="25" t="str">
        <f>IFERROR(VLOOKUP(tbEquipe[[#This Row],[Nome]],tbFOPAG[[Nome]:[Cargo]],2,0),"&lt;Selecionar Nome&gt;")</f>
        <v>&lt;Selecionar Nome&gt;</v>
      </c>
      <c r="E807">
        <f>176*tbEquipe[[#This Row],[Alocação]]</f>
        <v>0</v>
      </c>
      <c r="F807" s="34"/>
      <c r="G8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7" s="1"/>
    </row>
    <row r="808" spans="2:8" hidden="1" x14ac:dyDescent="0.25">
      <c r="B808" s="25" t="str">
        <f>IFERROR(VLOOKUP(tbEquipe[[#This Row],[Nome]],tbFOPAG[[Nome]:[Cargo]],2,0),"&lt;Selecionar Nome&gt;")</f>
        <v>&lt;Selecionar Nome&gt;</v>
      </c>
      <c r="E808">
        <f>176*tbEquipe[[#This Row],[Alocação]]</f>
        <v>0</v>
      </c>
      <c r="F808" s="34"/>
      <c r="G8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8" s="1"/>
    </row>
    <row r="809" spans="2:8" hidden="1" x14ac:dyDescent="0.25">
      <c r="B809" s="25" t="str">
        <f>IFERROR(VLOOKUP(tbEquipe[[#This Row],[Nome]],tbFOPAG[[Nome]:[Cargo]],2,0),"&lt;Selecionar Nome&gt;")</f>
        <v>&lt;Selecionar Nome&gt;</v>
      </c>
      <c r="E809">
        <f>176*tbEquipe[[#This Row],[Alocação]]</f>
        <v>0</v>
      </c>
      <c r="F809" s="34"/>
      <c r="G8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09" s="1"/>
    </row>
    <row r="810" spans="2:8" hidden="1" x14ac:dyDescent="0.25">
      <c r="B810" s="25" t="str">
        <f>IFERROR(VLOOKUP(tbEquipe[[#This Row],[Nome]],tbFOPAG[[Nome]:[Cargo]],2,0),"&lt;Selecionar Nome&gt;")</f>
        <v>&lt;Selecionar Nome&gt;</v>
      </c>
      <c r="E810">
        <f>176*tbEquipe[[#This Row],[Alocação]]</f>
        <v>0</v>
      </c>
      <c r="F810" s="34"/>
      <c r="G8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0" s="1"/>
    </row>
    <row r="811" spans="2:8" hidden="1" x14ac:dyDescent="0.25">
      <c r="B811" s="25" t="str">
        <f>IFERROR(VLOOKUP(tbEquipe[[#This Row],[Nome]],tbFOPAG[[Nome]:[Cargo]],2,0),"&lt;Selecionar Nome&gt;")</f>
        <v>&lt;Selecionar Nome&gt;</v>
      </c>
      <c r="E811">
        <f>176*tbEquipe[[#This Row],[Alocação]]</f>
        <v>0</v>
      </c>
      <c r="F811" s="34"/>
      <c r="G8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1" s="1"/>
    </row>
    <row r="812" spans="2:8" hidden="1" x14ac:dyDescent="0.25">
      <c r="B812" s="25" t="str">
        <f>IFERROR(VLOOKUP(tbEquipe[[#This Row],[Nome]],tbFOPAG[[Nome]:[Cargo]],2,0),"&lt;Selecionar Nome&gt;")</f>
        <v>&lt;Selecionar Nome&gt;</v>
      </c>
      <c r="E812">
        <f>176*tbEquipe[[#This Row],[Alocação]]</f>
        <v>0</v>
      </c>
      <c r="F812" s="34"/>
      <c r="G8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2" s="1"/>
    </row>
    <row r="813" spans="2:8" hidden="1" x14ac:dyDescent="0.25">
      <c r="B813" s="25" t="str">
        <f>IFERROR(VLOOKUP(tbEquipe[[#This Row],[Nome]],tbFOPAG[[Nome]:[Cargo]],2,0),"&lt;Selecionar Nome&gt;")</f>
        <v>&lt;Selecionar Nome&gt;</v>
      </c>
      <c r="E813">
        <f>176*tbEquipe[[#This Row],[Alocação]]</f>
        <v>0</v>
      </c>
      <c r="F813" s="34"/>
      <c r="G8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3" s="1"/>
    </row>
    <row r="814" spans="2:8" hidden="1" x14ac:dyDescent="0.25">
      <c r="B814" s="25" t="str">
        <f>IFERROR(VLOOKUP(tbEquipe[[#This Row],[Nome]],tbFOPAG[[Nome]:[Cargo]],2,0),"&lt;Selecionar Nome&gt;")</f>
        <v>&lt;Selecionar Nome&gt;</v>
      </c>
      <c r="E814">
        <f>176*tbEquipe[[#This Row],[Alocação]]</f>
        <v>0</v>
      </c>
      <c r="F814" s="34"/>
      <c r="G8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4" s="1"/>
    </row>
    <row r="815" spans="2:8" hidden="1" x14ac:dyDescent="0.25">
      <c r="B815" s="25" t="str">
        <f>IFERROR(VLOOKUP(tbEquipe[[#This Row],[Nome]],tbFOPAG[[Nome]:[Cargo]],2,0),"&lt;Selecionar Nome&gt;")</f>
        <v>&lt;Selecionar Nome&gt;</v>
      </c>
      <c r="E815">
        <f>176*tbEquipe[[#This Row],[Alocação]]</f>
        <v>0</v>
      </c>
      <c r="F815" s="34"/>
      <c r="G8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5" s="1"/>
    </row>
    <row r="816" spans="2:8" hidden="1" x14ac:dyDescent="0.25">
      <c r="B816" s="25" t="str">
        <f>IFERROR(VLOOKUP(tbEquipe[[#This Row],[Nome]],tbFOPAG[[Nome]:[Cargo]],2,0),"&lt;Selecionar Nome&gt;")</f>
        <v>&lt;Selecionar Nome&gt;</v>
      </c>
      <c r="E816">
        <f>176*tbEquipe[[#This Row],[Alocação]]</f>
        <v>0</v>
      </c>
      <c r="F816" s="34"/>
      <c r="G8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6" s="1"/>
    </row>
    <row r="817" spans="2:8" hidden="1" x14ac:dyDescent="0.25">
      <c r="B817" s="25" t="str">
        <f>IFERROR(VLOOKUP(tbEquipe[[#This Row],[Nome]],tbFOPAG[[Nome]:[Cargo]],2,0),"&lt;Selecionar Nome&gt;")</f>
        <v>&lt;Selecionar Nome&gt;</v>
      </c>
      <c r="E817">
        <f>176*tbEquipe[[#This Row],[Alocação]]</f>
        <v>0</v>
      </c>
      <c r="F817" s="34"/>
      <c r="G8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7" s="1"/>
    </row>
    <row r="818" spans="2:8" hidden="1" x14ac:dyDescent="0.25">
      <c r="B818" s="25" t="str">
        <f>IFERROR(VLOOKUP(tbEquipe[[#This Row],[Nome]],tbFOPAG[[Nome]:[Cargo]],2,0),"&lt;Selecionar Nome&gt;")</f>
        <v>&lt;Selecionar Nome&gt;</v>
      </c>
      <c r="E818">
        <f>176*tbEquipe[[#This Row],[Alocação]]</f>
        <v>0</v>
      </c>
      <c r="F818" s="34"/>
      <c r="G8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8" s="1"/>
    </row>
    <row r="819" spans="2:8" hidden="1" x14ac:dyDescent="0.25">
      <c r="B819" s="25" t="str">
        <f>IFERROR(VLOOKUP(tbEquipe[[#This Row],[Nome]],tbFOPAG[[Nome]:[Cargo]],2,0),"&lt;Selecionar Nome&gt;")</f>
        <v>&lt;Selecionar Nome&gt;</v>
      </c>
      <c r="E819">
        <f>176*tbEquipe[[#This Row],[Alocação]]</f>
        <v>0</v>
      </c>
      <c r="F819" s="34"/>
      <c r="G8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19" s="1"/>
    </row>
    <row r="820" spans="2:8" hidden="1" x14ac:dyDescent="0.25">
      <c r="B820" s="25" t="str">
        <f>IFERROR(VLOOKUP(tbEquipe[[#This Row],[Nome]],tbFOPAG[[Nome]:[Cargo]],2,0),"&lt;Selecionar Nome&gt;")</f>
        <v>&lt;Selecionar Nome&gt;</v>
      </c>
      <c r="E820">
        <f>176*tbEquipe[[#This Row],[Alocação]]</f>
        <v>0</v>
      </c>
      <c r="F820" s="34"/>
      <c r="G8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0" s="1"/>
    </row>
    <row r="821" spans="2:8" hidden="1" x14ac:dyDescent="0.25">
      <c r="B821" s="25" t="str">
        <f>IFERROR(VLOOKUP(tbEquipe[[#This Row],[Nome]],tbFOPAG[[Nome]:[Cargo]],2,0),"&lt;Selecionar Nome&gt;")</f>
        <v>&lt;Selecionar Nome&gt;</v>
      </c>
      <c r="E821">
        <f>176*tbEquipe[[#This Row],[Alocação]]</f>
        <v>0</v>
      </c>
      <c r="F821" s="34"/>
      <c r="G8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1" s="1"/>
    </row>
    <row r="822" spans="2:8" hidden="1" x14ac:dyDescent="0.25">
      <c r="B822" s="25" t="str">
        <f>IFERROR(VLOOKUP(tbEquipe[[#This Row],[Nome]],tbFOPAG[[Nome]:[Cargo]],2,0),"&lt;Selecionar Nome&gt;")</f>
        <v>&lt;Selecionar Nome&gt;</v>
      </c>
      <c r="E822">
        <f>176*tbEquipe[[#This Row],[Alocação]]</f>
        <v>0</v>
      </c>
      <c r="F822" s="34"/>
      <c r="G8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2" s="1"/>
    </row>
    <row r="823" spans="2:8" hidden="1" x14ac:dyDescent="0.25">
      <c r="B823" s="25" t="str">
        <f>IFERROR(VLOOKUP(tbEquipe[[#This Row],[Nome]],tbFOPAG[[Nome]:[Cargo]],2,0),"&lt;Selecionar Nome&gt;")</f>
        <v>&lt;Selecionar Nome&gt;</v>
      </c>
      <c r="E823">
        <f>176*tbEquipe[[#This Row],[Alocação]]</f>
        <v>0</v>
      </c>
      <c r="F823" s="34"/>
      <c r="G8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3" s="1"/>
    </row>
    <row r="824" spans="2:8" hidden="1" x14ac:dyDescent="0.25">
      <c r="B824" s="25" t="str">
        <f>IFERROR(VLOOKUP(tbEquipe[[#This Row],[Nome]],tbFOPAG[[Nome]:[Cargo]],2,0),"&lt;Selecionar Nome&gt;")</f>
        <v>&lt;Selecionar Nome&gt;</v>
      </c>
      <c r="E824">
        <f>176*tbEquipe[[#This Row],[Alocação]]</f>
        <v>0</v>
      </c>
      <c r="F824" s="34"/>
      <c r="G8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4" s="1"/>
    </row>
    <row r="825" spans="2:8" hidden="1" x14ac:dyDescent="0.25">
      <c r="B825" s="25" t="str">
        <f>IFERROR(VLOOKUP(tbEquipe[[#This Row],[Nome]],tbFOPAG[[Nome]:[Cargo]],2,0),"&lt;Selecionar Nome&gt;")</f>
        <v>&lt;Selecionar Nome&gt;</v>
      </c>
      <c r="E825">
        <f>176*tbEquipe[[#This Row],[Alocação]]</f>
        <v>0</v>
      </c>
      <c r="F825" s="34"/>
      <c r="G8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5" s="1"/>
    </row>
    <row r="826" spans="2:8" hidden="1" x14ac:dyDescent="0.25">
      <c r="B826" s="25" t="str">
        <f>IFERROR(VLOOKUP(tbEquipe[[#This Row],[Nome]],tbFOPAG[[Nome]:[Cargo]],2,0),"&lt;Selecionar Nome&gt;")</f>
        <v>&lt;Selecionar Nome&gt;</v>
      </c>
      <c r="E826">
        <f>176*tbEquipe[[#This Row],[Alocação]]</f>
        <v>0</v>
      </c>
      <c r="F826" s="34"/>
      <c r="G8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6" s="1"/>
    </row>
    <row r="827" spans="2:8" hidden="1" x14ac:dyDescent="0.25">
      <c r="B827" s="25" t="str">
        <f>IFERROR(VLOOKUP(tbEquipe[[#This Row],[Nome]],tbFOPAG[[Nome]:[Cargo]],2,0),"&lt;Selecionar Nome&gt;")</f>
        <v>&lt;Selecionar Nome&gt;</v>
      </c>
      <c r="E827">
        <f>176*tbEquipe[[#This Row],[Alocação]]</f>
        <v>0</v>
      </c>
      <c r="F827" s="34"/>
      <c r="G8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7" s="1"/>
    </row>
    <row r="828" spans="2:8" hidden="1" x14ac:dyDescent="0.25">
      <c r="B828" s="25" t="str">
        <f>IFERROR(VLOOKUP(tbEquipe[[#This Row],[Nome]],tbFOPAG[[Nome]:[Cargo]],2,0),"&lt;Selecionar Nome&gt;")</f>
        <v>&lt;Selecionar Nome&gt;</v>
      </c>
      <c r="E828">
        <f>176*tbEquipe[[#This Row],[Alocação]]</f>
        <v>0</v>
      </c>
      <c r="F828" s="34"/>
      <c r="G8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8" s="1"/>
    </row>
    <row r="829" spans="2:8" hidden="1" x14ac:dyDescent="0.25">
      <c r="B829" s="25" t="str">
        <f>IFERROR(VLOOKUP(tbEquipe[[#This Row],[Nome]],tbFOPAG[[Nome]:[Cargo]],2,0),"&lt;Selecionar Nome&gt;")</f>
        <v>&lt;Selecionar Nome&gt;</v>
      </c>
      <c r="E829">
        <f>176*tbEquipe[[#This Row],[Alocação]]</f>
        <v>0</v>
      </c>
      <c r="F829" s="34"/>
      <c r="G8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29" s="1"/>
    </row>
    <row r="830" spans="2:8" hidden="1" x14ac:dyDescent="0.25">
      <c r="B830" s="25" t="str">
        <f>IFERROR(VLOOKUP(tbEquipe[[#This Row],[Nome]],tbFOPAG[[Nome]:[Cargo]],2,0),"&lt;Selecionar Nome&gt;")</f>
        <v>&lt;Selecionar Nome&gt;</v>
      </c>
      <c r="E830">
        <f>176*tbEquipe[[#This Row],[Alocação]]</f>
        <v>0</v>
      </c>
      <c r="F830" s="34"/>
      <c r="G8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0" s="1"/>
    </row>
    <row r="831" spans="2:8" hidden="1" x14ac:dyDescent="0.25">
      <c r="B831" s="25" t="str">
        <f>IFERROR(VLOOKUP(tbEquipe[[#This Row],[Nome]],tbFOPAG[[Nome]:[Cargo]],2,0),"&lt;Selecionar Nome&gt;")</f>
        <v>&lt;Selecionar Nome&gt;</v>
      </c>
      <c r="E831">
        <f>176*tbEquipe[[#This Row],[Alocação]]</f>
        <v>0</v>
      </c>
      <c r="F831" s="34"/>
      <c r="G8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1" s="1"/>
    </row>
    <row r="832" spans="2:8" hidden="1" x14ac:dyDescent="0.25">
      <c r="B832" s="25" t="str">
        <f>IFERROR(VLOOKUP(tbEquipe[[#This Row],[Nome]],tbFOPAG[[Nome]:[Cargo]],2,0),"&lt;Selecionar Nome&gt;")</f>
        <v>&lt;Selecionar Nome&gt;</v>
      </c>
      <c r="E832">
        <f>176*tbEquipe[[#This Row],[Alocação]]</f>
        <v>0</v>
      </c>
      <c r="F832" s="34"/>
      <c r="G8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2" s="1"/>
    </row>
    <row r="833" spans="2:8" hidden="1" x14ac:dyDescent="0.25">
      <c r="B833" s="25" t="str">
        <f>IFERROR(VLOOKUP(tbEquipe[[#This Row],[Nome]],tbFOPAG[[Nome]:[Cargo]],2,0),"&lt;Selecionar Nome&gt;")</f>
        <v>&lt;Selecionar Nome&gt;</v>
      </c>
      <c r="E833">
        <f>176*tbEquipe[[#This Row],[Alocação]]</f>
        <v>0</v>
      </c>
      <c r="F833" s="34"/>
      <c r="G8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3" s="1"/>
    </row>
    <row r="834" spans="2:8" hidden="1" x14ac:dyDescent="0.25">
      <c r="B834" s="25" t="str">
        <f>IFERROR(VLOOKUP(tbEquipe[[#This Row],[Nome]],tbFOPAG[[Nome]:[Cargo]],2,0),"&lt;Selecionar Nome&gt;")</f>
        <v>&lt;Selecionar Nome&gt;</v>
      </c>
      <c r="E834">
        <f>176*tbEquipe[[#This Row],[Alocação]]</f>
        <v>0</v>
      </c>
      <c r="F834" s="34"/>
      <c r="G8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4" s="1"/>
    </row>
    <row r="835" spans="2:8" hidden="1" x14ac:dyDescent="0.25">
      <c r="B835" s="25" t="str">
        <f>IFERROR(VLOOKUP(tbEquipe[[#This Row],[Nome]],tbFOPAG[[Nome]:[Cargo]],2,0),"&lt;Selecionar Nome&gt;")</f>
        <v>&lt;Selecionar Nome&gt;</v>
      </c>
      <c r="E835">
        <f>176*tbEquipe[[#This Row],[Alocação]]</f>
        <v>0</v>
      </c>
      <c r="F835" s="34"/>
      <c r="G8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5" s="1"/>
    </row>
    <row r="836" spans="2:8" hidden="1" x14ac:dyDescent="0.25">
      <c r="B836" s="25" t="str">
        <f>IFERROR(VLOOKUP(tbEquipe[[#This Row],[Nome]],tbFOPAG[[Nome]:[Cargo]],2,0),"&lt;Selecionar Nome&gt;")</f>
        <v>&lt;Selecionar Nome&gt;</v>
      </c>
      <c r="E836">
        <f>176*tbEquipe[[#This Row],[Alocação]]</f>
        <v>0</v>
      </c>
      <c r="F836" s="34"/>
      <c r="G8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6" s="1"/>
    </row>
    <row r="837" spans="2:8" hidden="1" x14ac:dyDescent="0.25">
      <c r="B837" s="25" t="str">
        <f>IFERROR(VLOOKUP(tbEquipe[[#This Row],[Nome]],tbFOPAG[[Nome]:[Cargo]],2,0),"&lt;Selecionar Nome&gt;")</f>
        <v>&lt;Selecionar Nome&gt;</v>
      </c>
      <c r="E837">
        <f>176*tbEquipe[[#This Row],[Alocação]]</f>
        <v>0</v>
      </c>
      <c r="F837" s="34"/>
      <c r="G8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7" s="1"/>
    </row>
    <row r="838" spans="2:8" hidden="1" x14ac:dyDescent="0.25">
      <c r="B838" s="25" t="str">
        <f>IFERROR(VLOOKUP(tbEquipe[[#This Row],[Nome]],tbFOPAG[[Nome]:[Cargo]],2,0),"&lt;Selecionar Nome&gt;")</f>
        <v>&lt;Selecionar Nome&gt;</v>
      </c>
      <c r="E838">
        <f>176*tbEquipe[[#This Row],[Alocação]]</f>
        <v>0</v>
      </c>
      <c r="F838" s="34"/>
      <c r="G8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8" s="1"/>
    </row>
    <row r="839" spans="2:8" hidden="1" x14ac:dyDescent="0.25">
      <c r="B839" s="25" t="str">
        <f>IFERROR(VLOOKUP(tbEquipe[[#This Row],[Nome]],tbFOPAG[[Nome]:[Cargo]],2,0),"&lt;Selecionar Nome&gt;")</f>
        <v>&lt;Selecionar Nome&gt;</v>
      </c>
      <c r="E839">
        <f>176*tbEquipe[[#This Row],[Alocação]]</f>
        <v>0</v>
      </c>
      <c r="F839" s="34"/>
      <c r="G8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39" s="1"/>
    </row>
    <row r="840" spans="2:8" hidden="1" x14ac:dyDescent="0.25">
      <c r="B840" s="25" t="str">
        <f>IFERROR(VLOOKUP(tbEquipe[[#This Row],[Nome]],tbFOPAG[[Nome]:[Cargo]],2,0),"&lt;Selecionar Nome&gt;")</f>
        <v>&lt;Selecionar Nome&gt;</v>
      </c>
      <c r="E840">
        <f>176*tbEquipe[[#This Row],[Alocação]]</f>
        <v>0</v>
      </c>
      <c r="F840" s="34"/>
      <c r="G8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0" s="1"/>
    </row>
    <row r="841" spans="2:8" hidden="1" x14ac:dyDescent="0.25">
      <c r="B841" s="25" t="str">
        <f>IFERROR(VLOOKUP(tbEquipe[[#This Row],[Nome]],tbFOPAG[[Nome]:[Cargo]],2,0),"&lt;Selecionar Nome&gt;")</f>
        <v>&lt;Selecionar Nome&gt;</v>
      </c>
      <c r="E841">
        <f>176*tbEquipe[[#This Row],[Alocação]]</f>
        <v>0</v>
      </c>
      <c r="F841" s="34"/>
      <c r="G8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1" s="1"/>
    </row>
    <row r="842" spans="2:8" hidden="1" x14ac:dyDescent="0.25">
      <c r="B842" s="25" t="str">
        <f>IFERROR(VLOOKUP(tbEquipe[[#This Row],[Nome]],tbFOPAG[[Nome]:[Cargo]],2,0),"&lt;Selecionar Nome&gt;")</f>
        <v>&lt;Selecionar Nome&gt;</v>
      </c>
      <c r="E842">
        <f>176*tbEquipe[[#This Row],[Alocação]]</f>
        <v>0</v>
      </c>
      <c r="F842" s="34"/>
      <c r="G8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2" s="1"/>
    </row>
    <row r="843" spans="2:8" hidden="1" x14ac:dyDescent="0.25">
      <c r="B843" s="25" t="str">
        <f>IFERROR(VLOOKUP(tbEquipe[[#This Row],[Nome]],tbFOPAG[[Nome]:[Cargo]],2,0),"&lt;Selecionar Nome&gt;")</f>
        <v>&lt;Selecionar Nome&gt;</v>
      </c>
      <c r="E843">
        <f>176*tbEquipe[[#This Row],[Alocação]]</f>
        <v>0</v>
      </c>
      <c r="F843" s="34"/>
      <c r="G8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3" s="1"/>
    </row>
    <row r="844" spans="2:8" hidden="1" x14ac:dyDescent="0.25">
      <c r="B844" s="25" t="str">
        <f>IFERROR(VLOOKUP(tbEquipe[[#This Row],[Nome]],tbFOPAG[[Nome]:[Cargo]],2,0),"&lt;Selecionar Nome&gt;")</f>
        <v>&lt;Selecionar Nome&gt;</v>
      </c>
      <c r="E844">
        <f>176*tbEquipe[[#This Row],[Alocação]]</f>
        <v>0</v>
      </c>
      <c r="F844" s="34"/>
      <c r="G8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4" s="1"/>
    </row>
    <row r="845" spans="2:8" hidden="1" x14ac:dyDescent="0.25">
      <c r="B845" s="25" t="str">
        <f>IFERROR(VLOOKUP(tbEquipe[[#This Row],[Nome]],tbFOPAG[[Nome]:[Cargo]],2,0),"&lt;Selecionar Nome&gt;")</f>
        <v>&lt;Selecionar Nome&gt;</v>
      </c>
      <c r="E845">
        <f>176*tbEquipe[[#This Row],[Alocação]]</f>
        <v>0</v>
      </c>
      <c r="F845" s="34"/>
      <c r="G8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5" s="1"/>
    </row>
    <row r="846" spans="2:8" hidden="1" x14ac:dyDescent="0.25">
      <c r="B846" s="25" t="str">
        <f>IFERROR(VLOOKUP(tbEquipe[[#This Row],[Nome]],tbFOPAG[[Nome]:[Cargo]],2,0),"&lt;Selecionar Nome&gt;")</f>
        <v>&lt;Selecionar Nome&gt;</v>
      </c>
      <c r="E846">
        <f>176*tbEquipe[[#This Row],[Alocação]]</f>
        <v>0</v>
      </c>
      <c r="F846" s="34"/>
      <c r="G8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6" s="1"/>
    </row>
    <row r="847" spans="2:8" hidden="1" x14ac:dyDescent="0.25">
      <c r="B847" s="25" t="str">
        <f>IFERROR(VLOOKUP(tbEquipe[[#This Row],[Nome]],tbFOPAG[[Nome]:[Cargo]],2,0),"&lt;Selecionar Nome&gt;")</f>
        <v>&lt;Selecionar Nome&gt;</v>
      </c>
      <c r="E847">
        <f>176*tbEquipe[[#This Row],[Alocação]]</f>
        <v>0</v>
      </c>
      <c r="F847" s="34"/>
      <c r="G8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7" s="1"/>
    </row>
    <row r="848" spans="2:8" hidden="1" x14ac:dyDescent="0.25">
      <c r="B848" s="25" t="str">
        <f>IFERROR(VLOOKUP(tbEquipe[[#This Row],[Nome]],tbFOPAG[[Nome]:[Cargo]],2,0),"&lt;Selecionar Nome&gt;")</f>
        <v>&lt;Selecionar Nome&gt;</v>
      </c>
      <c r="E848">
        <f>176*tbEquipe[[#This Row],[Alocação]]</f>
        <v>0</v>
      </c>
      <c r="F848" s="34"/>
      <c r="G8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8" s="1"/>
    </row>
    <row r="849" spans="2:8" hidden="1" x14ac:dyDescent="0.25">
      <c r="B849" s="25" t="str">
        <f>IFERROR(VLOOKUP(tbEquipe[[#This Row],[Nome]],tbFOPAG[[Nome]:[Cargo]],2,0),"&lt;Selecionar Nome&gt;")</f>
        <v>&lt;Selecionar Nome&gt;</v>
      </c>
      <c r="E849">
        <f>176*tbEquipe[[#This Row],[Alocação]]</f>
        <v>0</v>
      </c>
      <c r="F849" s="34"/>
      <c r="G8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49" s="1"/>
    </row>
    <row r="850" spans="2:8" hidden="1" x14ac:dyDescent="0.25">
      <c r="B850" s="25" t="str">
        <f>IFERROR(VLOOKUP(tbEquipe[[#This Row],[Nome]],tbFOPAG[[Nome]:[Cargo]],2,0),"&lt;Selecionar Nome&gt;")</f>
        <v>&lt;Selecionar Nome&gt;</v>
      </c>
      <c r="E850">
        <f>176*tbEquipe[[#This Row],[Alocação]]</f>
        <v>0</v>
      </c>
      <c r="F850" s="34"/>
      <c r="G8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0" s="1"/>
    </row>
    <row r="851" spans="2:8" hidden="1" x14ac:dyDescent="0.25">
      <c r="B851" s="25" t="str">
        <f>IFERROR(VLOOKUP(tbEquipe[[#This Row],[Nome]],tbFOPAG[[Nome]:[Cargo]],2,0),"&lt;Selecionar Nome&gt;")</f>
        <v>&lt;Selecionar Nome&gt;</v>
      </c>
      <c r="E851">
        <f>176*tbEquipe[[#This Row],[Alocação]]</f>
        <v>0</v>
      </c>
      <c r="F851" s="34"/>
      <c r="G8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1" s="1"/>
    </row>
    <row r="852" spans="2:8" hidden="1" x14ac:dyDescent="0.25">
      <c r="B852" s="25" t="str">
        <f>IFERROR(VLOOKUP(tbEquipe[[#This Row],[Nome]],tbFOPAG[[Nome]:[Cargo]],2,0),"&lt;Selecionar Nome&gt;")</f>
        <v>&lt;Selecionar Nome&gt;</v>
      </c>
      <c r="E852">
        <f>176*tbEquipe[[#This Row],[Alocação]]</f>
        <v>0</v>
      </c>
      <c r="F852" s="34"/>
      <c r="G8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2" s="1"/>
    </row>
    <row r="853" spans="2:8" hidden="1" x14ac:dyDescent="0.25">
      <c r="B853" s="25" t="str">
        <f>IFERROR(VLOOKUP(tbEquipe[[#This Row],[Nome]],tbFOPAG[[Nome]:[Cargo]],2,0),"&lt;Selecionar Nome&gt;")</f>
        <v>&lt;Selecionar Nome&gt;</v>
      </c>
      <c r="E853">
        <f>176*tbEquipe[[#This Row],[Alocação]]</f>
        <v>0</v>
      </c>
      <c r="F853" s="34"/>
      <c r="G8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3" s="1"/>
    </row>
    <row r="854" spans="2:8" hidden="1" x14ac:dyDescent="0.25">
      <c r="B854" s="25" t="str">
        <f>IFERROR(VLOOKUP(tbEquipe[[#This Row],[Nome]],tbFOPAG[[Nome]:[Cargo]],2,0),"&lt;Selecionar Nome&gt;")</f>
        <v>&lt;Selecionar Nome&gt;</v>
      </c>
      <c r="E854">
        <f>176*tbEquipe[[#This Row],[Alocação]]</f>
        <v>0</v>
      </c>
      <c r="F854" s="34"/>
      <c r="G8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4" s="1"/>
    </row>
    <row r="855" spans="2:8" hidden="1" x14ac:dyDescent="0.25">
      <c r="B855" s="25" t="str">
        <f>IFERROR(VLOOKUP(tbEquipe[[#This Row],[Nome]],tbFOPAG[[Nome]:[Cargo]],2,0),"&lt;Selecionar Nome&gt;")</f>
        <v>&lt;Selecionar Nome&gt;</v>
      </c>
      <c r="E855">
        <f>176*tbEquipe[[#This Row],[Alocação]]</f>
        <v>0</v>
      </c>
      <c r="F855" s="34"/>
      <c r="G8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5" s="1"/>
    </row>
    <row r="856" spans="2:8" hidden="1" x14ac:dyDescent="0.25">
      <c r="B856" s="25" t="str">
        <f>IFERROR(VLOOKUP(tbEquipe[[#This Row],[Nome]],tbFOPAG[[Nome]:[Cargo]],2,0),"&lt;Selecionar Nome&gt;")</f>
        <v>&lt;Selecionar Nome&gt;</v>
      </c>
      <c r="E856">
        <f>176*tbEquipe[[#This Row],[Alocação]]</f>
        <v>0</v>
      </c>
      <c r="F856" s="34"/>
      <c r="G8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6" s="1"/>
    </row>
    <row r="857" spans="2:8" hidden="1" x14ac:dyDescent="0.25">
      <c r="B857" s="25" t="str">
        <f>IFERROR(VLOOKUP(tbEquipe[[#This Row],[Nome]],tbFOPAG[[Nome]:[Cargo]],2,0),"&lt;Selecionar Nome&gt;")</f>
        <v>&lt;Selecionar Nome&gt;</v>
      </c>
      <c r="E857">
        <f>176*tbEquipe[[#This Row],[Alocação]]</f>
        <v>0</v>
      </c>
      <c r="F857" s="34"/>
      <c r="G8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7" s="1"/>
    </row>
    <row r="858" spans="2:8" hidden="1" x14ac:dyDescent="0.25">
      <c r="B858" s="25" t="str">
        <f>IFERROR(VLOOKUP(tbEquipe[[#This Row],[Nome]],tbFOPAG[[Nome]:[Cargo]],2,0),"&lt;Selecionar Nome&gt;")</f>
        <v>&lt;Selecionar Nome&gt;</v>
      </c>
      <c r="E858">
        <f>176*tbEquipe[[#This Row],[Alocação]]</f>
        <v>0</v>
      </c>
      <c r="F858" s="34"/>
      <c r="G8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8" s="1"/>
    </row>
    <row r="859" spans="2:8" hidden="1" x14ac:dyDescent="0.25">
      <c r="B859" s="25" t="str">
        <f>IFERROR(VLOOKUP(tbEquipe[[#This Row],[Nome]],tbFOPAG[[Nome]:[Cargo]],2,0),"&lt;Selecionar Nome&gt;")</f>
        <v>&lt;Selecionar Nome&gt;</v>
      </c>
      <c r="E859">
        <f>176*tbEquipe[[#This Row],[Alocação]]</f>
        <v>0</v>
      </c>
      <c r="F859" s="34"/>
      <c r="G8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59" s="1"/>
    </row>
    <row r="860" spans="2:8" hidden="1" x14ac:dyDescent="0.25">
      <c r="B860" s="25" t="str">
        <f>IFERROR(VLOOKUP(tbEquipe[[#This Row],[Nome]],tbFOPAG[[Nome]:[Cargo]],2,0),"&lt;Selecionar Nome&gt;")</f>
        <v>&lt;Selecionar Nome&gt;</v>
      </c>
      <c r="E860">
        <f>176*tbEquipe[[#This Row],[Alocação]]</f>
        <v>0</v>
      </c>
      <c r="F860" s="34"/>
      <c r="G8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0" s="1"/>
    </row>
    <row r="861" spans="2:8" hidden="1" x14ac:dyDescent="0.25">
      <c r="B861" s="25" t="str">
        <f>IFERROR(VLOOKUP(tbEquipe[[#This Row],[Nome]],tbFOPAG[[Nome]:[Cargo]],2,0),"&lt;Selecionar Nome&gt;")</f>
        <v>&lt;Selecionar Nome&gt;</v>
      </c>
      <c r="E861">
        <f>176*tbEquipe[[#This Row],[Alocação]]</f>
        <v>0</v>
      </c>
      <c r="F861" s="34"/>
      <c r="G8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1" s="1"/>
    </row>
    <row r="862" spans="2:8" hidden="1" x14ac:dyDescent="0.25">
      <c r="B862" s="25" t="str">
        <f>IFERROR(VLOOKUP(tbEquipe[[#This Row],[Nome]],tbFOPAG[[Nome]:[Cargo]],2,0),"&lt;Selecionar Nome&gt;")</f>
        <v>&lt;Selecionar Nome&gt;</v>
      </c>
      <c r="E862">
        <f>176*tbEquipe[[#This Row],[Alocação]]</f>
        <v>0</v>
      </c>
      <c r="F862" s="34"/>
      <c r="G8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2" s="1"/>
    </row>
    <row r="863" spans="2:8" hidden="1" x14ac:dyDescent="0.25">
      <c r="B863" s="25" t="str">
        <f>IFERROR(VLOOKUP(tbEquipe[[#This Row],[Nome]],tbFOPAG[[Nome]:[Cargo]],2,0),"&lt;Selecionar Nome&gt;")</f>
        <v>&lt;Selecionar Nome&gt;</v>
      </c>
      <c r="E863">
        <f>176*tbEquipe[[#This Row],[Alocação]]</f>
        <v>0</v>
      </c>
      <c r="F863" s="34"/>
      <c r="G8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3" s="1"/>
    </row>
    <row r="864" spans="2:8" hidden="1" x14ac:dyDescent="0.25">
      <c r="B864" s="25" t="str">
        <f>IFERROR(VLOOKUP(tbEquipe[[#This Row],[Nome]],tbFOPAG[[Nome]:[Cargo]],2,0),"&lt;Selecionar Nome&gt;")</f>
        <v>&lt;Selecionar Nome&gt;</v>
      </c>
      <c r="E864">
        <f>176*tbEquipe[[#This Row],[Alocação]]</f>
        <v>0</v>
      </c>
      <c r="F864" s="34"/>
      <c r="G8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4" s="1"/>
    </row>
    <row r="865" spans="2:8" hidden="1" x14ac:dyDescent="0.25">
      <c r="B865" s="25" t="str">
        <f>IFERROR(VLOOKUP(tbEquipe[[#This Row],[Nome]],tbFOPAG[[Nome]:[Cargo]],2,0),"&lt;Selecionar Nome&gt;")</f>
        <v>&lt;Selecionar Nome&gt;</v>
      </c>
      <c r="E865">
        <f>176*tbEquipe[[#This Row],[Alocação]]</f>
        <v>0</v>
      </c>
      <c r="F865" s="34"/>
      <c r="G8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5" s="1"/>
    </row>
    <row r="866" spans="2:8" hidden="1" x14ac:dyDescent="0.25">
      <c r="B866" s="25" t="str">
        <f>IFERROR(VLOOKUP(tbEquipe[[#This Row],[Nome]],tbFOPAG[[Nome]:[Cargo]],2,0),"&lt;Selecionar Nome&gt;")</f>
        <v>&lt;Selecionar Nome&gt;</v>
      </c>
      <c r="E866">
        <f>176*tbEquipe[[#This Row],[Alocação]]</f>
        <v>0</v>
      </c>
      <c r="F866" s="34"/>
      <c r="G8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6" s="1"/>
    </row>
    <row r="867" spans="2:8" hidden="1" x14ac:dyDescent="0.25">
      <c r="B867" s="25" t="str">
        <f>IFERROR(VLOOKUP(tbEquipe[[#This Row],[Nome]],tbFOPAG[[Nome]:[Cargo]],2,0),"&lt;Selecionar Nome&gt;")</f>
        <v>&lt;Selecionar Nome&gt;</v>
      </c>
      <c r="E867">
        <f>176*tbEquipe[[#This Row],[Alocação]]</f>
        <v>0</v>
      </c>
      <c r="F867" s="34"/>
      <c r="G8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7" s="1"/>
    </row>
    <row r="868" spans="2:8" hidden="1" x14ac:dyDescent="0.25">
      <c r="B868" s="25" t="str">
        <f>IFERROR(VLOOKUP(tbEquipe[[#This Row],[Nome]],tbFOPAG[[Nome]:[Cargo]],2,0),"&lt;Selecionar Nome&gt;")</f>
        <v>&lt;Selecionar Nome&gt;</v>
      </c>
      <c r="E868">
        <f>176*tbEquipe[[#This Row],[Alocação]]</f>
        <v>0</v>
      </c>
      <c r="F868" s="34"/>
      <c r="G8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8" s="1"/>
    </row>
    <row r="869" spans="2:8" hidden="1" x14ac:dyDescent="0.25">
      <c r="B869" s="25" t="str">
        <f>IFERROR(VLOOKUP(tbEquipe[[#This Row],[Nome]],tbFOPAG[[Nome]:[Cargo]],2,0),"&lt;Selecionar Nome&gt;")</f>
        <v>&lt;Selecionar Nome&gt;</v>
      </c>
      <c r="E869">
        <f>176*tbEquipe[[#This Row],[Alocação]]</f>
        <v>0</v>
      </c>
      <c r="F869" s="34"/>
      <c r="G8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69" s="1"/>
    </row>
    <row r="870" spans="2:8" hidden="1" x14ac:dyDescent="0.25">
      <c r="B870" s="25" t="str">
        <f>IFERROR(VLOOKUP(tbEquipe[[#This Row],[Nome]],tbFOPAG[[Nome]:[Cargo]],2,0),"&lt;Selecionar Nome&gt;")</f>
        <v>&lt;Selecionar Nome&gt;</v>
      </c>
      <c r="E870">
        <f>176*tbEquipe[[#This Row],[Alocação]]</f>
        <v>0</v>
      </c>
      <c r="F870" s="34"/>
      <c r="G8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0" s="1"/>
    </row>
    <row r="871" spans="2:8" hidden="1" x14ac:dyDescent="0.25">
      <c r="B871" s="25" t="str">
        <f>IFERROR(VLOOKUP(tbEquipe[[#This Row],[Nome]],tbFOPAG[[Nome]:[Cargo]],2,0),"&lt;Selecionar Nome&gt;")</f>
        <v>&lt;Selecionar Nome&gt;</v>
      </c>
      <c r="E871">
        <f>176*tbEquipe[[#This Row],[Alocação]]</f>
        <v>0</v>
      </c>
      <c r="F871" s="34"/>
      <c r="G8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1" s="1"/>
    </row>
    <row r="872" spans="2:8" hidden="1" x14ac:dyDescent="0.25">
      <c r="B872" s="25" t="str">
        <f>IFERROR(VLOOKUP(tbEquipe[[#This Row],[Nome]],tbFOPAG[[Nome]:[Cargo]],2,0),"&lt;Selecionar Nome&gt;")</f>
        <v>&lt;Selecionar Nome&gt;</v>
      </c>
      <c r="E872">
        <f>176*tbEquipe[[#This Row],[Alocação]]</f>
        <v>0</v>
      </c>
      <c r="F872" s="34"/>
      <c r="G8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2" s="1"/>
    </row>
    <row r="873" spans="2:8" hidden="1" x14ac:dyDescent="0.25">
      <c r="B873" s="25" t="str">
        <f>IFERROR(VLOOKUP(tbEquipe[[#This Row],[Nome]],tbFOPAG[[Nome]:[Cargo]],2,0),"&lt;Selecionar Nome&gt;")</f>
        <v>&lt;Selecionar Nome&gt;</v>
      </c>
      <c r="E873">
        <f>176*tbEquipe[[#This Row],[Alocação]]</f>
        <v>0</v>
      </c>
      <c r="F873" s="34"/>
      <c r="G8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3" s="1"/>
    </row>
    <row r="874" spans="2:8" hidden="1" x14ac:dyDescent="0.25">
      <c r="B874" s="25" t="str">
        <f>IFERROR(VLOOKUP(tbEquipe[[#This Row],[Nome]],tbFOPAG[[Nome]:[Cargo]],2,0),"&lt;Selecionar Nome&gt;")</f>
        <v>&lt;Selecionar Nome&gt;</v>
      </c>
      <c r="E874">
        <f>176*tbEquipe[[#This Row],[Alocação]]</f>
        <v>0</v>
      </c>
      <c r="F874" s="34"/>
      <c r="G8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4" s="1"/>
    </row>
    <row r="875" spans="2:8" hidden="1" x14ac:dyDescent="0.25">
      <c r="B875" s="25" t="str">
        <f>IFERROR(VLOOKUP(tbEquipe[[#This Row],[Nome]],tbFOPAG[[Nome]:[Cargo]],2,0),"&lt;Selecionar Nome&gt;")</f>
        <v>&lt;Selecionar Nome&gt;</v>
      </c>
      <c r="E875">
        <f>176*tbEquipe[[#This Row],[Alocação]]</f>
        <v>0</v>
      </c>
      <c r="F875" s="34"/>
      <c r="G8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5" s="1"/>
    </row>
    <row r="876" spans="2:8" hidden="1" x14ac:dyDescent="0.25">
      <c r="B876" s="25" t="str">
        <f>IFERROR(VLOOKUP(tbEquipe[[#This Row],[Nome]],tbFOPAG[[Nome]:[Cargo]],2,0),"&lt;Selecionar Nome&gt;")</f>
        <v>&lt;Selecionar Nome&gt;</v>
      </c>
      <c r="E876">
        <f>176*tbEquipe[[#This Row],[Alocação]]</f>
        <v>0</v>
      </c>
      <c r="F876" s="34"/>
      <c r="G8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6" s="1"/>
    </row>
    <row r="877" spans="2:8" hidden="1" x14ac:dyDescent="0.25">
      <c r="B877" s="25" t="str">
        <f>IFERROR(VLOOKUP(tbEquipe[[#This Row],[Nome]],tbFOPAG[[Nome]:[Cargo]],2,0),"&lt;Selecionar Nome&gt;")</f>
        <v>&lt;Selecionar Nome&gt;</v>
      </c>
      <c r="E877">
        <f>176*tbEquipe[[#This Row],[Alocação]]</f>
        <v>0</v>
      </c>
      <c r="F877" s="34"/>
      <c r="G8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7" s="1"/>
    </row>
    <row r="878" spans="2:8" hidden="1" x14ac:dyDescent="0.25">
      <c r="B878" s="25" t="str">
        <f>IFERROR(VLOOKUP(tbEquipe[[#This Row],[Nome]],tbFOPAG[[Nome]:[Cargo]],2,0),"&lt;Selecionar Nome&gt;")</f>
        <v>&lt;Selecionar Nome&gt;</v>
      </c>
      <c r="E878">
        <f>176*tbEquipe[[#This Row],[Alocação]]</f>
        <v>0</v>
      </c>
      <c r="F878" s="34"/>
      <c r="G8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8" s="1"/>
    </row>
    <row r="879" spans="2:8" hidden="1" x14ac:dyDescent="0.25">
      <c r="B879" s="25" t="str">
        <f>IFERROR(VLOOKUP(tbEquipe[[#This Row],[Nome]],tbFOPAG[[Nome]:[Cargo]],2,0),"&lt;Selecionar Nome&gt;")</f>
        <v>&lt;Selecionar Nome&gt;</v>
      </c>
      <c r="E879">
        <f>176*tbEquipe[[#This Row],[Alocação]]</f>
        <v>0</v>
      </c>
      <c r="F879" s="34"/>
      <c r="G8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79" s="1"/>
    </row>
    <row r="880" spans="2:8" hidden="1" x14ac:dyDescent="0.25">
      <c r="B880" s="25" t="str">
        <f>IFERROR(VLOOKUP(tbEquipe[[#This Row],[Nome]],tbFOPAG[[Nome]:[Cargo]],2,0),"&lt;Selecionar Nome&gt;")</f>
        <v>&lt;Selecionar Nome&gt;</v>
      </c>
      <c r="E880">
        <f>176*tbEquipe[[#This Row],[Alocação]]</f>
        <v>0</v>
      </c>
      <c r="F880" s="34"/>
      <c r="G8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0" s="1"/>
    </row>
    <row r="881" spans="2:8" hidden="1" x14ac:dyDescent="0.25">
      <c r="B881" s="25" t="str">
        <f>IFERROR(VLOOKUP(tbEquipe[[#This Row],[Nome]],tbFOPAG[[Nome]:[Cargo]],2,0),"&lt;Selecionar Nome&gt;")</f>
        <v>&lt;Selecionar Nome&gt;</v>
      </c>
      <c r="E881">
        <f>176*tbEquipe[[#This Row],[Alocação]]</f>
        <v>0</v>
      </c>
      <c r="F881" s="34"/>
      <c r="G8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1" s="1"/>
    </row>
    <row r="882" spans="2:8" hidden="1" x14ac:dyDescent="0.25">
      <c r="B882" s="25" t="str">
        <f>IFERROR(VLOOKUP(tbEquipe[[#This Row],[Nome]],tbFOPAG[[Nome]:[Cargo]],2,0),"&lt;Selecionar Nome&gt;")</f>
        <v>&lt;Selecionar Nome&gt;</v>
      </c>
      <c r="E882">
        <f>176*tbEquipe[[#This Row],[Alocação]]</f>
        <v>0</v>
      </c>
      <c r="F882" s="34"/>
      <c r="G8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2" s="1"/>
    </row>
    <row r="883" spans="2:8" hidden="1" x14ac:dyDescent="0.25">
      <c r="B883" s="25" t="str">
        <f>IFERROR(VLOOKUP(tbEquipe[[#This Row],[Nome]],tbFOPAG[[Nome]:[Cargo]],2,0),"&lt;Selecionar Nome&gt;")</f>
        <v>&lt;Selecionar Nome&gt;</v>
      </c>
      <c r="E883">
        <f>176*tbEquipe[[#This Row],[Alocação]]</f>
        <v>0</v>
      </c>
      <c r="F883" s="34"/>
      <c r="G8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3" s="1"/>
    </row>
    <row r="884" spans="2:8" hidden="1" x14ac:dyDescent="0.25">
      <c r="B884" s="25" t="str">
        <f>IFERROR(VLOOKUP(tbEquipe[[#This Row],[Nome]],tbFOPAG[[Nome]:[Cargo]],2,0),"&lt;Selecionar Nome&gt;")</f>
        <v>&lt;Selecionar Nome&gt;</v>
      </c>
      <c r="E884">
        <f>176*tbEquipe[[#This Row],[Alocação]]</f>
        <v>0</v>
      </c>
      <c r="F884" s="34"/>
      <c r="G8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4" s="1"/>
    </row>
    <row r="885" spans="2:8" hidden="1" x14ac:dyDescent="0.25">
      <c r="B885" s="25" t="str">
        <f>IFERROR(VLOOKUP(tbEquipe[[#This Row],[Nome]],tbFOPAG[[Nome]:[Cargo]],2,0),"&lt;Selecionar Nome&gt;")</f>
        <v>&lt;Selecionar Nome&gt;</v>
      </c>
      <c r="E885">
        <f>176*tbEquipe[[#This Row],[Alocação]]</f>
        <v>0</v>
      </c>
      <c r="F885" s="34"/>
      <c r="G8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5" s="1"/>
    </row>
    <row r="886" spans="2:8" hidden="1" x14ac:dyDescent="0.25">
      <c r="B886" s="25" t="str">
        <f>IFERROR(VLOOKUP(tbEquipe[[#This Row],[Nome]],tbFOPAG[[Nome]:[Cargo]],2,0),"&lt;Selecionar Nome&gt;")</f>
        <v>&lt;Selecionar Nome&gt;</v>
      </c>
      <c r="E886">
        <f>176*tbEquipe[[#This Row],[Alocação]]</f>
        <v>0</v>
      </c>
      <c r="F886" s="34"/>
      <c r="G8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6" s="1"/>
    </row>
    <row r="887" spans="2:8" hidden="1" x14ac:dyDescent="0.25">
      <c r="B887" s="25" t="str">
        <f>IFERROR(VLOOKUP(tbEquipe[[#This Row],[Nome]],tbFOPAG[[Nome]:[Cargo]],2,0),"&lt;Selecionar Nome&gt;")</f>
        <v>&lt;Selecionar Nome&gt;</v>
      </c>
      <c r="E887">
        <f>176*tbEquipe[[#This Row],[Alocação]]</f>
        <v>0</v>
      </c>
      <c r="F887" s="34"/>
      <c r="G8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7" s="1"/>
    </row>
    <row r="888" spans="2:8" hidden="1" x14ac:dyDescent="0.25">
      <c r="B888" s="25" t="str">
        <f>IFERROR(VLOOKUP(tbEquipe[[#This Row],[Nome]],tbFOPAG[[Nome]:[Cargo]],2,0),"&lt;Selecionar Nome&gt;")</f>
        <v>&lt;Selecionar Nome&gt;</v>
      </c>
      <c r="E888">
        <f>176*tbEquipe[[#This Row],[Alocação]]</f>
        <v>0</v>
      </c>
      <c r="F888" s="34"/>
      <c r="G8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8" s="1"/>
    </row>
    <row r="889" spans="2:8" hidden="1" x14ac:dyDescent="0.25">
      <c r="B889" s="25" t="str">
        <f>IFERROR(VLOOKUP(tbEquipe[[#This Row],[Nome]],tbFOPAG[[Nome]:[Cargo]],2,0),"&lt;Selecionar Nome&gt;")</f>
        <v>&lt;Selecionar Nome&gt;</v>
      </c>
      <c r="E889">
        <f>176*tbEquipe[[#This Row],[Alocação]]</f>
        <v>0</v>
      </c>
      <c r="F889" s="34"/>
      <c r="G8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89" s="1"/>
    </row>
    <row r="890" spans="2:8" hidden="1" x14ac:dyDescent="0.25">
      <c r="B890" s="25" t="str">
        <f>IFERROR(VLOOKUP(tbEquipe[[#This Row],[Nome]],tbFOPAG[[Nome]:[Cargo]],2,0),"&lt;Selecionar Nome&gt;")</f>
        <v>&lt;Selecionar Nome&gt;</v>
      </c>
      <c r="E890">
        <f>176*tbEquipe[[#This Row],[Alocação]]</f>
        <v>0</v>
      </c>
      <c r="F890" s="34"/>
      <c r="G8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0" s="1"/>
    </row>
    <row r="891" spans="2:8" hidden="1" x14ac:dyDescent="0.25">
      <c r="B891" s="25" t="str">
        <f>IFERROR(VLOOKUP(tbEquipe[[#This Row],[Nome]],tbFOPAG[[Nome]:[Cargo]],2,0),"&lt;Selecionar Nome&gt;")</f>
        <v>&lt;Selecionar Nome&gt;</v>
      </c>
      <c r="E891">
        <f>176*tbEquipe[[#This Row],[Alocação]]</f>
        <v>0</v>
      </c>
      <c r="F891" s="34"/>
      <c r="G8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1" s="1"/>
    </row>
    <row r="892" spans="2:8" hidden="1" x14ac:dyDescent="0.25">
      <c r="B892" s="25" t="str">
        <f>IFERROR(VLOOKUP(tbEquipe[[#This Row],[Nome]],tbFOPAG[[Nome]:[Cargo]],2,0),"&lt;Selecionar Nome&gt;")</f>
        <v>&lt;Selecionar Nome&gt;</v>
      </c>
      <c r="E892">
        <f>176*tbEquipe[[#This Row],[Alocação]]</f>
        <v>0</v>
      </c>
      <c r="F892" s="34"/>
      <c r="G8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2" s="1"/>
    </row>
    <row r="893" spans="2:8" hidden="1" x14ac:dyDescent="0.25">
      <c r="B893" s="25" t="str">
        <f>IFERROR(VLOOKUP(tbEquipe[[#This Row],[Nome]],tbFOPAG[[Nome]:[Cargo]],2,0),"&lt;Selecionar Nome&gt;")</f>
        <v>&lt;Selecionar Nome&gt;</v>
      </c>
      <c r="E893">
        <f>176*tbEquipe[[#This Row],[Alocação]]</f>
        <v>0</v>
      </c>
      <c r="F893" s="34"/>
      <c r="G8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3" s="1"/>
    </row>
    <row r="894" spans="2:8" hidden="1" x14ac:dyDescent="0.25">
      <c r="B894" s="25" t="str">
        <f>IFERROR(VLOOKUP(tbEquipe[[#This Row],[Nome]],tbFOPAG[[Nome]:[Cargo]],2,0),"&lt;Selecionar Nome&gt;")</f>
        <v>&lt;Selecionar Nome&gt;</v>
      </c>
      <c r="E894">
        <f>176*tbEquipe[[#This Row],[Alocação]]</f>
        <v>0</v>
      </c>
      <c r="F894" s="34"/>
      <c r="G8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4" s="1"/>
    </row>
    <row r="895" spans="2:8" hidden="1" x14ac:dyDescent="0.25">
      <c r="B895" s="25" t="str">
        <f>IFERROR(VLOOKUP(tbEquipe[[#This Row],[Nome]],tbFOPAG[[Nome]:[Cargo]],2,0),"&lt;Selecionar Nome&gt;")</f>
        <v>&lt;Selecionar Nome&gt;</v>
      </c>
      <c r="E895">
        <f>176*tbEquipe[[#This Row],[Alocação]]</f>
        <v>0</v>
      </c>
      <c r="F895" s="34"/>
      <c r="G8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5" s="1"/>
    </row>
    <row r="896" spans="2:8" hidden="1" x14ac:dyDescent="0.25">
      <c r="B896" s="25" t="str">
        <f>IFERROR(VLOOKUP(tbEquipe[[#This Row],[Nome]],tbFOPAG[[Nome]:[Cargo]],2,0),"&lt;Selecionar Nome&gt;")</f>
        <v>&lt;Selecionar Nome&gt;</v>
      </c>
      <c r="E896">
        <f>176*tbEquipe[[#This Row],[Alocação]]</f>
        <v>0</v>
      </c>
      <c r="F896" s="34"/>
      <c r="G8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6" s="1"/>
    </row>
    <row r="897" spans="2:8" hidden="1" x14ac:dyDescent="0.25">
      <c r="B897" s="25" t="str">
        <f>IFERROR(VLOOKUP(tbEquipe[[#This Row],[Nome]],tbFOPAG[[Nome]:[Cargo]],2,0),"&lt;Selecionar Nome&gt;")</f>
        <v>&lt;Selecionar Nome&gt;</v>
      </c>
      <c r="E897">
        <f>176*tbEquipe[[#This Row],[Alocação]]</f>
        <v>0</v>
      </c>
      <c r="F897" s="34"/>
      <c r="G8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7" s="1"/>
    </row>
    <row r="898" spans="2:8" hidden="1" x14ac:dyDescent="0.25">
      <c r="B898" s="25" t="str">
        <f>IFERROR(VLOOKUP(tbEquipe[[#This Row],[Nome]],tbFOPAG[[Nome]:[Cargo]],2,0),"&lt;Selecionar Nome&gt;")</f>
        <v>&lt;Selecionar Nome&gt;</v>
      </c>
      <c r="E898">
        <f>176*tbEquipe[[#This Row],[Alocação]]</f>
        <v>0</v>
      </c>
      <c r="F898" s="34"/>
      <c r="G8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8" s="1"/>
    </row>
    <row r="899" spans="2:8" hidden="1" x14ac:dyDescent="0.25">
      <c r="B899" s="25" t="str">
        <f>IFERROR(VLOOKUP(tbEquipe[[#This Row],[Nome]],tbFOPAG[[Nome]:[Cargo]],2,0),"&lt;Selecionar Nome&gt;")</f>
        <v>&lt;Selecionar Nome&gt;</v>
      </c>
      <c r="E899">
        <f>176*tbEquipe[[#This Row],[Alocação]]</f>
        <v>0</v>
      </c>
      <c r="F899" s="34"/>
      <c r="G8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899" s="1"/>
    </row>
    <row r="900" spans="2:8" hidden="1" x14ac:dyDescent="0.25">
      <c r="B900" s="25" t="str">
        <f>IFERROR(VLOOKUP(tbEquipe[[#This Row],[Nome]],tbFOPAG[[Nome]:[Cargo]],2,0),"&lt;Selecionar Nome&gt;")</f>
        <v>&lt;Selecionar Nome&gt;</v>
      </c>
      <c r="E900">
        <f>176*tbEquipe[[#This Row],[Alocação]]</f>
        <v>0</v>
      </c>
      <c r="F900" s="34"/>
      <c r="G9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0" s="1"/>
    </row>
    <row r="901" spans="2:8" hidden="1" x14ac:dyDescent="0.25">
      <c r="B901" s="25" t="str">
        <f>IFERROR(VLOOKUP(tbEquipe[[#This Row],[Nome]],tbFOPAG[[Nome]:[Cargo]],2,0),"&lt;Selecionar Nome&gt;")</f>
        <v>&lt;Selecionar Nome&gt;</v>
      </c>
      <c r="E901">
        <f>176*tbEquipe[[#This Row],[Alocação]]</f>
        <v>0</v>
      </c>
      <c r="F901" s="34"/>
      <c r="G9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1" s="1"/>
    </row>
    <row r="902" spans="2:8" hidden="1" x14ac:dyDescent="0.25">
      <c r="B902" s="25" t="str">
        <f>IFERROR(VLOOKUP(tbEquipe[[#This Row],[Nome]],tbFOPAG[[Nome]:[Cargo]],2,0),"&lt;Selecionar Nome&gt;")</f>
        <v>&lt;Selecionar Nome&gt;</v>
      </c>
      <c r="E902">
        <f>176*tbEquipe[[#This Row],[Alocação]]</f>
        <v>0</v>
      </c>
      <c r="F902" s="34"/>
      <c r="G9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2" s="1"/>
    </row>
    <row r="903" spans="2:8" hidden="1" x14ac:dyDescent="0.25">
      <c r="B903" s="25" t="str">
        <f>IFERROR(VLOOKUP(tbEquipe[[#This Row],[Nome]],tbFOPAG[[Nome]:[Cargo]],2,0),"&lt;Selecionar Nome&gt;")</f>
        <v>&lt;Selecionar Nome&gt;</v>
      </c>
      <c r="E903">
        <f>176*tbEquipe[[#This Row],[Alocação]]</f>
        <v>0</v>
      </c>
      <c r="F903" s="34"/>
      <c r="G9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3" s="1"/>
    </row>
    <row r="904" spans="2:8" hidden="1" x14ac:dyDescent="0.25">
      <c r="B904" s="25" t="str">
        <f>IFERROR(VLOOKUP(tbEquipe[[#This Row],[Nome]],tbFOPAG[[Nome]:[Cargo]],2,0),"&lt;Selecionar Nome&gt;")</f>
        <v>&lt;Selecionar Nome&gt;</v>
      </c>
      <c r="E904">
        <f>176*tbEquipe[[#This Row],[Alocação]]</f>
        <v>0</v>
      </c>
      <c r="F904" s="34"/>
      <c r="G9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4" s="1"/>
    </row>
    <row r="905" spans="2:8" hidden="1" x14ac:dyDescent="0.25">
      <c r="B905" s="25" t="str">
        <f>IFERROR(VLOOKUP(tbEquipe[[#This Row],[Nome]],tbFOPAG[[Nome]:[Cargo]],2,0),"&lt;Selecionar Nome&gt;")</f>
        <v>&lt;Selecionar Nome&gt;</v>
      </c>
      <c r="E905">
        <f>176*tbEquipe[[#This Row],[Alocação]]</f>
        <v>0</v>
      </c>
      <c r="F905" s="34"/>
      <c r="G9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5" s="1"/>
    </row>
    <row r="906" spans="2:8" hidden="1" x14ac:dyDescent="0.25">
      <c r="B906" s="25" t="str">
        <f>IFERROR(VLOOKUP(tbEquipe[[#This Row],[Nome]],tbFOPAG[[Nome]:[Cargo]],2,0),"&lt;Selecionar Nome&gt;")</f>
        <v>&lt;Selecionar Nome&gt;</v>
      </c>
      <c r="E906">
        <f>176*tbEquipe[[#This Row],[Alocação]]</f>
        <v>0</v>
      </c>
      <c r="F906" s="34"/>
      <c r="G9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6" s="1"/>
    </row>
    <row r="907" spans="2:8" hidden="1" x14ac:dyDescent="0.25">
      <c r="B907" s="25" t="str">
        <f>IFERROR(VLOOKUP(tbEquipe[[#This Row],[Nome]],tbFOPAG[[Nome]:[Cargo]],2,0),"&lt;Selecionar Nome&gt;")</f>
        <v>&lt;Selecionar Nome&gt;</v>
      </c>
      <c r="E907">
        <f>176*tbEquipe[[#This Row],[Alocação]]</f>
        <v>0</v>
      </c>
      <c r="F907" s="34"/>
      <c r="G9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7" s="1"/>
    </row>
    <row r="908" spans="2:8" hidden="1" x14ac:dyDescent="0.25">
      <c r="B908" s="25" t="str">
        <f>IFERROR(VLOOKUP(tbEquipe[[#This Row],[Nome]],tbFOPAG[[Nome]:[Cargo]],2,0),"&lt;Selecionar Nome&gt;")</f>
        <v>&lt;Selecionar Nome&gt;</v>
      </c>
      <c r="E908">
        <f>176*tbEquipe[[#This Row],[Alocação]]</f>
        <v>0</v>
      </c>
      <c r="F908" s="34"/>
      <c r="G9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8" s="1"/>
    </row>
    <row r="909" spans="2:8" hidden="1" x14ac:dyDescent="0.25">
      <c r="B909" s="25" t="str">
        <f>IFERROR(VLOOKUP(tbEquipe[[#This Row],[Nome]],tbFOPAG[[Nome]:[Cargo]],2,0),"&lt;Selecionar Nome&gt;")</f>
        <v>&lt;Selecionar Nome&gt;</v>
      </c>
      <c r="E909">
        <f>176*tbEquipe[[#This Row],[Alocação]]</f>
        <v>0</v>
      </c>
      <c r="F909" s="34"/>
      <c r="G9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09" s="1"/>
    </row>
    <row r="910" spans="2:8" hidden="1" x14ac:dyDescent="0.25">
      <c r="B910" s="25" t="str">
        <f>IFERROR(VLOOKUP(tbEquipe[[#This Row],[Nome]],tbFOPAG[[Nome]:[Cargo]],2,0),"&lt;Selecionar Nome&gt;")</f>
        <v>&lt;Selecionar Nome&gt;</v>
      </c>
      <c r="E910">
        <f>176*tbEquipe[[#This Row],[Alocação]]</f>
        <v>0</v>
      </c>
      <c r="F910" s="34"/>
      <c r="G9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0" s="1"/>
    </row>
    <row r="911" spans="2:8" hidden="1" x14ac:dyDescent="0.25">
      <c r="B911" s="25" t="str">
        <f>IFERROR(VLOOKUP(tbEquipe[[#This Row],[Nome]],tbFOPAG[[Nome]:[Cargo]],2,0),"&lt;Selecionar Nome&gt;")</f>
        <v>&lt;Selecionar Nome&gt;</v>
      </c>
      <c r="E911">
        <f>176*tbEquipe[[#This Row],[Alocação]]</f>
        <v>0</v>
      </c>
      <c r="F911" s="34"/>
      <c r="G9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1" s="1"/>
    </row>
    <row r="912" spans="2:8" hidden="1" x14ac:dyDescent="0.25">
      <c r="B912" s="25" t="str">
        <f>IFERROR(VLOOKUP(tbEquipe[[#This Row],[Nome]],tbFOPAG[[Nome]:[Cargo]],2,0),"&lt;Selecionar Nome&gt;")</f>
        <v>&lt;Selecionar Nome&gt;</v>
      </c>
      <c r="E912">
        <f>176*tbEquipe[[#This Row],[Alocação]]</f>
        <v>0</v>
      </c>
      <c r="F912" s="34"/>
      <c r="G9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2" s="1"/>
    </row>
    <row r="913" spans="2:8" hidden="1" x14ac:dyDescent="0.25">
      <c r="B913" s="25" t="str">
        <f>IFERROR(VLOOKUP(tbEquipe[[#This Row],[Nome]],tbFOPAG[[Nome]:[Cargo]],2,0),"&lt;Selecionar Nome&gt;")</f>
        <v>&lt;Selecionar Nome&gt;</v>
      </c>
      <c r="E913">
        <f>176*tbEquipe[[#This Row],[Alocação]]</f>
        <v>0</v>
      </c>
      <c r="F913" s="34"/>
      <c r="G9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3" s="1"/>
    </row>
    <row r="914" spans="2:8" hidden="1" x14ac:dyDescent="0.25">
      <c r="B914" s="25" t="str">
        <f>IFERROR(VLOOKUP(tbEquipe[[#This Row],[Nome]],tbFOPAG[[Nome]:[Cargo]],2,0),"&lt;Selecionar Nome&gt;")</f>
        <v>&lt;Selecionar Nome&gt;</v>
      </c>
      <c r="E914">
        <f>176*tbEquipe[[#This Row],[Alocação]]</f>
        <v>0</v>
      </c>
      <c r="F914" s="34"/>
      <c r="G9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4" s="1"/>
    </row>
    <row r="915" spans="2:8" hidden="1" x14ac:dyDescent="0.25">
      <c r="B915" s="25" t="str">
        <f>IFERROR(VLOOKUP(tbEquipe[[#This Row],[Nome]],tbFOPAG[[Nome]:[Cargo]],2,0),"&lt;Selecionar Nome&gt;")</f>
        <v>&lt;Selecionar Nome&gt;</v>
      </c>
      <c r="E915">
        <f>176*tbEquipe[[#This Row],[Alocação]]</f>
        <v>0</v>
      </c>
      <c r="F915" s="34"/>
      <c r="G9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5" s="1"/>
    </row>
    <row r="916" spans="2:8" hidden="1" x14ac:dyDescent="0.25">
      <c r="B916" s="25" t="str">
        <f>IFERROR(VLOOKUP(tbEquipe[[#This Row],[Nome]],tbFOPAG[[Nome]:[Cargo]],2,0),"&lt;Selecionar Nome&gt;")</f>
        <v>&lt;Selecionar Nome&gt;</v>
      </c>
      <c r="E916">
        <f>176*tbEquipe[[#This Row],[Alocação]]</f>
        <v>0</v>
      </c>
      <c r="F916" s="34"/>
      <c r="G9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6" s="1"/>
    </row>
    <row r="917" spans="2:8" hidden="1" x14ac:dyDescent="0.25">
      <c r="B917" s="25" t="str">
        <f>IFERROR(VLOOKUP(tbEquipe[[#This Row],[Nome]],tbFOPAG[[Nome]:[Cargo]],2,0),"&lt;Selecionar Nome&gt;")</f>
        <v>&lt;Selecionar Nome&gt;</v>
      </c>
      <c r="E917">
        <f>176*tbEquipe[[#This Row],[Alocação]]</f>
        <v>0</v>
      </c>
      <c r="F917" s="34"/>
      <c r="G9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7" s="1"/>
    </row>
    <row r="918" spans="2:8" hidden="1" x14ac:dyDescent="0.25">
      <c r="B918" s="25" t="str">
        <f>IFERROR(VLOOKUP(tbEquipe[[#This Row],[Nome]],tbFOPAG[[Nome]:[Cargo]],2,0),"&lt;Selecionar Nome&gt;")</f>
        <v>&lt;Selecionar Nome&gt;</v>
      </c>
      <c r="E918">
        <f>176*tbEquipe[[#This Row],[Alocação]]</f>
        <v>0</v>
      </c>
      <c r="F918" s="34"/>
      <c r="G9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8" s="1"/>
    </row>
    <row r="919" spans="2:8" hidden="1" x14ac:dyDescent="0.25">
      <c r="B919" s="25" t="str">
        <f>IFERROR(VLOOKUP(tbEquipe[[#This Row],[Nome]],tbFOPAG[[Nome]:[Cargo]],2,0),"&lt;Selecionar Nome&gt;")</f>
        <v>&lt;Selecionar Nome&gt;</v>
      </c>
      <c r="E919">
        <f>176*tbEquipe[[#This Row],[Alocação]]</f>
        <v>0</v>
      </c>
      <c r="F919" s="34"/>
      <c r="G9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19" s="1"/>
    </row>
    <row r="920" spans="2:8" hidden="1" x14ac:dyDescent="0.25">
      <c r="B920" s="25" t="str">
        <f>IFERROR(VLOOKUP(tbEquipe[[#This Row],[Nome]],tbFOPAG[[Nome]:[Cargo]],2,0),"&lt;Selecionar Nome&gt;")</f>
        <v>&lt;Selecionar Nome&gt;</v>
      </c>
      <c r="E920">
        <f>176*tbEquipe[[#This Row],[Alocação]]</f>
        <v>0</v>
      </c>
      <c r="F920" s="34"/>
      <c r="G9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0" s="1"/>
    </row>
    <row r="921" spans="2:8" hidden="1" x14ac:dyDescent="0.25">
      <c r="B921" s="25" t="str">
        <f>IFERROR(VLOOKUP(tbEquipe[[#This Row],[Nome]],tbFOPAG[[Nome]:[Cargo]],2,0),"&lt;Selecionar Nome&gt;")</f>
        <v>&lt;Selecionar Nome&gt;</v>
      </c>
      <c r="E921">
        <f>176*tbEquipe[[#This Row],[Alocação]]</f>
        <v>0</v>
      </c>
      <c r="F921" s="34"/>
      <c r="G9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1" s="1"/>
    </row>
    <row r="922" spans="2:8" hidden="1" x14ac:dyDescent="0.25">
      <c r="B922" s="25" t="str">
        <f>IFERROR(VLOOKUP(tbEquipe[[#This Row],[Nome]],tbFOPAG[[Nome]:[Cargo]],2,0),"&lt;Selecionar Nome&gt;")</f>
        <v>&lt;Selecionar Nome&gt;</v>
      </c>
      <c r="E922">
        <f>176*tbEquipe[[#This Row],[Alocação]]</f>
        <v>0</v>
      </c>
      <c r="F922" s="34"/>
      <c r="G9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2" s="1"/>
    </row>
    <row r="923" spans="2:8" hidden="1" x14ac:dyDescent="0.25">
      <c r="B923" s="25" t="str">
        <f>IFERROR(VLOOKUP(tbEquipe[[#This Row],[Nome]],tbFOPAG[[Nome]:[Cargo]],2,0),"&lt;Selecionar Nome&gt;")</f>
        <v>&lt;Selecionar Nome&gt;</v>
      </c>
      <c r="E923">
        <f>176*tbEquipe[[#This Row],[Alocação]]</f>
        <v>0</v>
      </c>
      <c r="F923" s="34"/>
      <c r="G9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3" s="1"/>
    </row>
    <row r="924" spans="2:8" hidden="1" x14ac:dyDescent="0.25">
      <c r="B924" s="25" t="str">
        <f>IFERROR(VLOOKUP(tbEquipe[[#This Row],[Nome]],tbFOPAG[[Nome]:[Cargo]],2,0),"&lt;Selecionar Nome&gt;")</f>
        <v>&lt;Selecionar Nome&gt;</v>
      </c>
      <c r="E924">
        <f>176*tbEquipe[[#This Row],[Alocação]]</f>
        <v>0</v>
      </c>
      <c r="F924" s="34"/>
      <c r="G9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4" s="1"/>
    </row>
    <row r="925" spans="2:8" hidden="1" x14ac:dyDescent="0.25">
      <c r="B925" s="25" t="str">
        <f>IFERROR(VLOOKUP(tbEquipe[[#This Row],[Nome]],tbFOPAG[[Nome]:[Cargo]],2,0),"&lt;Selecionar Nome&gt;")</f>
        <v>&lt;Selecionar Nome&gt;</v>
      </c>
      <c r="E925">
        <f>176*tbEquipe[[#This Row],[Alocação]]</f>
        <v>0</v>
      </c>
      <c r="F925" s="34"/>
      <c r="G9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5" s="1"/>
    </row>
    <row r="926" spans="2:8" hidden="1" x14ac:dyDescent="0.25">
      <c r="B926" s="25" t="str">
        <f>IFERROR(VLOOKUP(tbEquipe[[#This Row],[Nome]],tbFOPAG[[Nome]:[Cargo]],2,0),"&lt;Selecionar Nome&gt;")</f>
        <v>&lt;Selecionar Nome&gt;</v>
      </c>
      <c r="E926">
        <f>176*tbEquipe[[#This Row],[Alocação]]</f>
        <v>0</v>
      </c>
      <c r="F926" s="34"/>
      <c r="G9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6" s="1"/>
    </row>
    <row r="927" spans="2:8" hidden="1" x14ac:dyDescent="0.25">
      <c r="B927" s="25" t="str">
        <f>IFERROR(VLOOKUP(tbEquipe[[#This Row],[Nome]],tbFOPAG[[Nome]:[Cargo]],2,0),"&lt;Selecionar Nome&gt;")</f>
        <v>&lt;Selecionar Nome&gt;</v>
      </c>
      <c r="E927">
        <f>176*tbEquipe[[#This Row],[Alocação]]</f>
        <v>0</v>
      </c>
      <c r="F927" s="34"/>
      <c r="G9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7" s="1"/>
    </row>
    <row r="928" spans="2:8" hidden="1" x14ac:dyDescent="0.25">
      <c r="B928" s="25" t="str">
        <f>IFERROR(VLOOKUP(tbEquipe[[#This Row],[Nome]],tbFOPAG[[Nome]:[Cargo]],2,0),"&lt;Selecionar Nome&gt;")</f>
        <v>&lt;Selecionar Nome&gt;</v>
      </c>
      <c r="E928">
        <f>176*tbEquipe[[#This Row],[Alocação]]</f>
        <v>0</v>
      </c>
      <c r="F928" s="34"/>
      <c r="G9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8" s="1"/>
    </row>
    <row r="929" spans="2:8" hidden="1" x14ac:dyDescent="0.25">
      <c r="B929" s="25" t="str">
        <f>IFERROR(VLOOKUP(tbEquipe[[#This Row],[Nome]],tbFOPAG[[Nome]:[Cargo]],2,0),"&lt;Selecionar Nome&gt;")</f>
        <v>&lt;Selecionar Nome&gt;</v>
      </c>
      <c r="E929">
        <f>176*tbEquipe[[#This Row],[Alocação]]</f>
        <v>0</v>
      </c>
      <c r="F929" s="34"/>
      <c r="G9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29" s="1"/>
    </row>
    <row r="930" spans="2:8" hidden="1" x14ac:dyDescent="0.25">
      <c r="B930" s="25" t="str">
        <f>IFERROR(VLOOKUP(tbEquipe[[#This Row],[Nome]],tbFOPAG[[Nome]:[Cargo]],2,0),"&lt;Selecionar Nome&gt;")</f>
        <v>&lt;Selecionar Nome&gt;</v>
      </c>
      <c r="E930">
        <f>176*tbEquipe[[#This Row],[Alocação]]</f>
        <v>0</v>
      </c>
      <c r="F930" s="34"/>
      <c r="G9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0" s="1"/>
    </row>
    <row r="931" spans="2:8" hidden="1" x14ac:dyDescent="0.25">
      <c r="B931" s="25" t="str">
        <f>IFERROR(VLOOKUP(tbEquipe[[#This Row],[Nome]],tbFOPAG[[Nome]:[Cargo]],2,0),"&lt;Selecionar Nome&gt;")</f>
        <v>&lt;Selecionar Nome&gt;</v>
      </c>
      <c r="E931">
        <f>176*tbEquipe[[#This Row],[Alocação]]</f>
        <v>0</v>
      </c>
      <c r="F931" s="34"/>
      <c r="G9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1" s="1"/>
    </row>
    <row r="932" spans="2:8" hidden="1" x14ac:dyDescent="0.25">
      <c r="B932" s="25" t="str">
        <f>IFERROR(VLOOKUP(tbEquipe[[#This Row],[Nome]],tbFOPAG[[Nome]:[Cargo]],2,0),"&lt;Selecionar Nome&gt;")</f>
        <v>&lt;Selecionar Nome&gt;</v>
      </c>
      <c r="E932">
        <f>176*tbEquipe[[#This Row],[Alocação]]</f>
        <v>0</v>
      </c>
      <c r="F932" s="34"/>
      <c r="G9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2" s="1"/>
    </row>
    <row r="933" spans="2:8" hidden="1" x14ac:dyDescent="0.25">
      <c r="B933" s="25" t="str">
        <f>IFERROR(VLOOKUP(tbEquipe[[#This Row],[Nome]],tbFOPAG[[Nome]:[Cargo]],2,0),"&lt;Selecionar Nome&gt;")</f>
        <v>&lt;Selecionar Nome&gt;</v>
      </c>
      <c r="E933">
        <f>176*tbEquipe[[#This Row],[Alocação]]</f>
        <v>0</v>
      </c>
      <c r="F933" s="34"/>
      <c r="G9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3" s="1"/>
    </row>
    <row r="934" spans="2:8" hidden="1" x14ac:dyDescent="0.25">
      <c r="B934" s="25" t="str">
        <f>IFERROR(VLOOKUP(tbEquipe[[#This Row],[Nome]],tbFOPAG[[Nome]:[Cargo]],2,0),"&lt;Selecionar Nome&gt;")</f>
        <v>&lt;Selecionar Nome&gt;</v>
      </c>
      <c r="E934">
        <f>176*tbEquipe[[#This Row],[Alocação]]</f>
        <v>0</v>
      </c>
      <c r="F934" s="34"/>
      <c r="G9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4" s="1"/>
    </row>
    <row r="935" spans="2:8" hidden="1" x14ac:dyDescent="0.25">
      <c r="B935" s="25" t="str">
        <f>IFERROR(VLOOKUP(tbEquipe[[#This Row],[Nome]],tbFOPAG[[Nome]:[Cargo]],2,0),"&lt;Selecionar Nome&gt;")</f>
        <v>&lt;Selecionar Nome&gt;</v>
      </c>
      <c r="E935">
        <f>176*tbEquipe[[#This Row],[Alocação]]</f>
        <v>0</v>
      </c>
      <c r="F935" s="34"/>
      <c r="G9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5" s="1"/>
    </row>
    <row r="936" spans="2:8" hidden="1" x14ac:dyDescent="0.25">
      <c r="B936" s="25" t="str">
        <f>IFERROR(VLOOKUP(tbEquipe[[#This Row],[Nome]],tbFOPAG[[Nome]:[Cargo]],2,0),"&lt;Selecionar Nome&gt;")</f>
        <v>&lt;Selecionar Nome&gt;</v>
      </c>
      <c r="E936">
        <f>176*tbEquipe[[#This Row],[Alocação]]</f>
        <v>0</v>
      </c>
      <c r="F936" s="34"/>
      <c r="G9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6" s="1"/>
    </row>
    <row r="937" spans="2:8" hidden="1" x14ac:dyDescent="0.25">
      <c r="B937" s="25" t="str">
        <f>IFERROR(VLOOKUP(tbEquipe[[#This Row],[Nome]],tbFOPAG[[Nome]:[Cargo]],2,0),"&lt;Selecionar Nome&gt;")</f>
        <v>&lt;Selecionar Nome&gt;</v>
      </c>
      <c r="E937">
        <f>176*tbEquipe[[#This Row],[Alocação]]</f>
        <v>0</v>
      </c>
      <c r="F937" s="34"/>
      <c r="G9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7" s="1"/>
    </row>
    <row r="938" spans="2:8" hidden="1" x14ac:dyDescent="0.25">
      <c r="B938" s="25" t="str">
        <f>IFERROR(VLOOKUP(tbEquipe[[#This Row],[Nome]],tbFOPAG[[Nome]:[Cargo]],2,0),"&lt;Selecionar Nome&gt;")</f>
        <v>&lt;Selecionar Nome&gt;</v>
      </c>
      <c r="E938">
        <f>176*tbEquipe[[#This Row],[Alocação]]</f>
        <v>0</v>
      </c>
      <c r="F938" s="34"/>
      <c r="G9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8" s="1"/>
    </row>
    <row r="939" spans="2:8" hidden="1" x14ac:dyDescent="0.25">
      <c r="B939" s="25" t="str">
        <f>IFERROR(VLOOKUP(tbEquipe[[#This Row],[Nome]],tbFOPAG[[Nome]:[Cargo]],2,0),"&lt;Selecionar Nome&gt;")</f>
        <v>&lt;Selecionar Nome&gt;</v>
      </c>
      <c r="E939">
        <f>176*tbEquipe[[#This Row],[Alocação]]</f>
        <v>0</v>
      </c>
      <c r="F939" s="34"/>
      <c r="G9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39" s="1"/>
    </row>
    <row r="940" spans="2:8" hidden="1" x14ac:dyDescent="0.25">
      <c r="B940" s="25" t="str">
        <f>IFERROR(VLOOKUP(tbEquipe[[#This Row],[Nome]],tbFOPAG[[Nome]:[Cargo]],2,0),"&lt;Selecionar Nome&gt;")</f>
        <v>&lt;Selecionar Nome&gt;</v>
      </c>
      <c r="E940">
        <f>176*tbEquipe[[#This Row],[Alocação]]</f>
        <v>0</v>
      </c>
      <c r="F940" s="34"/>
      <c r="G9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0" s="1"/>
    </row>
    <row r="941" spans="2:8" hidden="1" x14ac:dyDescent="0.25">
      <c r="B941" s="25" t="str">
        <f>IFERROR(VLOOKUP(tbEquipe[[#This Row],[Nome]],tbFOPAG[[Nome]:[Cargo]],2,0),"&lt;Selecionar Nome&gt;")</f>
        <v>&lt;Selecionar Nome&gt;</v>
      </c>
      <c r="E941">
        <f>176*tbEquipe[[#This Row],[Alocação]]</f>
        <v>0</v>
      </c>
      <c r="F941" s="34"/>
      <c r="G9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1" s="1"/>
    </row>
    <row r="942" spans="2:8" hidden="1" x14ac:dyDescent="0.25">
      <c r="B942" s="25" t="str">
        <f>IFERROR(VLOOKUP(tbEquipe[[#This Row],[Nome]],tbFOPAG[[Nome]:[Cargo]],2,0),"&lt;Selecionar Nome&gt;")</f>
        <v>&lt;Selecionar Nome&gt;</v>
      </c>
      <c r="E942">
        <f>176*tbEquipe[[#This Row],[Alocação]]</f>
        <v>0</v>
      </c>
      <c r="F942" s="34"/>
      <c r="G9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2" s="1"/>
    </row>
    <row r="943" spans="2:8" hidden="1" x14ac:dyDescent="0.25">
      <c r="B943" s="25" t="str">
        <f>IFERROR(VLOOKUP(tbEquipe[[#This Row],[Nome]],tbFOPAG[[Nome]:[Cargo]],2,0),"&lt;Selecionar Nome&gt;")</f>
        <v>&lt;Selecionar Nome&gt;</v>
      </c>
      <c r="E943">
        <f>176*tbEquipe[[#This Row],[Alocação]]</f>
        <v>0</v>
      </c>
      <c r="F943" s="34"/>
      <c r="G9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3" s="1"/>
    </row>
    <row r="944" spans="2:8" hidden="1" x14ac:dyDescent="0.25">
      <c r="B944" s="25" t="str">
        <f>IFERROR(VLOOKUP(tbEquipe[[#This Row],[Nome]],tbFOPAG[[Nome]:[Cargo]],2,0),"&lt;Selecionar Nome&gt;")</f>
        <v>&lt;Selecionar Nome&gt;</v>
      </c>
      <c r="E944">
        <f>176*tbEquipe[[#This Row],[Alocação]]</f>
        <v>0</v>
      </c>
      <c r="F944" s="34"/>
      <c r="G9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4" s="1"/>
    </row>
    <row r="945" spans="2:8" hidden="1" x14ac:dyDescent="0.25">
      <c r="B945" s="25" t="str">
        <f>IFERROR(VLOOKUP(tbEquipe[[#This Row],[Nome]],tbFOPAG[[Nome]:[Cargo]],2,0),"&lt;Selecionar Nome&gt;")</f>
        <v>&lt;Selecionar Nome&gt;</v>
      </c>
      <c r="E945">
        <f>176*tbEquipe[[#This Row],[Alocação]]</f>
        <v>0</v>
      </c>
      <c r="F945" s="34"/>
      <c r="G9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5" s="1"/>
    </row>
    <row r="946" spans="2:8" hidden="1" x14ac:dyDescent="0.25">
      <c r="B946" s="25" t="str">
        <f>IFERROR(VLOOKUP(tbEquipe[[#This Row],[Nome]],tbFOPAG[[Nome]:[Cargo]],2,0),"&lt;Selecionar Nome&gt;")</f>
        <v>&lt;Selecionar Nome&gt;</v>
      </c>
      <c r="E946">
        <f>176*tbEquipe[[#This Row],[Alocação]]</f>
        <v>0</v>
      </c>
      <c r="F946" s="34"/>
      <c r="G9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6" s="1"/>
    </row>
    <row r="947" spans="2:8" hidden="1" x14ac:dyDescent="0.25">
      <c r="B947" s="25" t="str">
        <f>IFERROR(VLOOKUP(tbEquipe[[#This Row],[Nome]],tbFOPAG[[Nome]:[Cargo]],2,0),"&lt;Selecionar Nome&gt;")</f>
        <v>&lt;Selecionar Nome&gt;</v>
      </c>
      <c r="E947">
        <f>176*tbEquipe[[#This Row],[Alocação]]</f>
        <v>0</v>
      </c>
      <c r="F947" s="34"/>
      <c r="G9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7" s="1"/>
    </row>
    <row r="948" spans="2:8" hidden="1" x14ac:dyDescent="0.25">
      <c r="B948" s="25" t="str">
        <f>IFERROR(VLOOKUP(tbEquipe[[#This Row],[Nome]],tbFOPAG[[Nome]:[Cargo]],2,0),"&lt;Selecionar Nome&gt;")</f>
        <v>&lt;Selecionar Nome&gt;</v>
      </c>
      <c r="E948">
        <f>176*tbEquipe[[#This Row],[Alocação]]</f>
        <v>0</v>
      </c>
      <c r="F948" s="34"/>
      <c r="G9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8" s="1"/>
    </row>
    <row r="949" spans="2:8" hidden="1" x14ac:dyDescent="0.25">
      <c r="B949" s="25" t="str">
        <f>IFERROR(VLOOKUP(tbEquipe[[#This Row],[Nome]],tbFOPAG[[Nome]:[Cargo]],2,0),"&lt;Selecionar Nome&gt;")</f>
        <v>&lt;Selecionar Nome&gt;</v>
      </c>
      <c r="E949">
        <f>176*tbEquipe[[#This Row],[Alocação]]</f>
        <v>0</v>
      </c>
      <c r="F949" s="34"/>
      <c r="G9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49" s="1"/>
    </row>
    <row r="950" spans="2:8" hidden="1" x14ac:dyDescent="0.25">
      <c r="B950" s="25" t="str">
        <f>IFERROR(VLOOKUP(tbEquipe[[#This Row],[Nome]],tbFOPAG[[Nome]:[Cargo]],2,0),"&lt;Selecionar Nome&gt;")</f>
        <v>&lt;Selecionar Nome&gt;</v>
      </c>
      <c r="E950">
        <f>176*tbEquipe[[#This Row],[Alocação]]</f>
        <v>0</v>
      </c>
      <c r="F950" s="34"/>
      <c r="G9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0" s="1"/>
    </row>
    <row r="951" spans="2:8" hidden="1" x14ac:dyDescent="0.25">
      <c r="B951" s="25" t="str">
        <f>IFERROR(VLOOKUP(tbEquipe[[#This Row],[Nome]],tbFOPAG[[Nome]:[Cargo]],2,0),"&lt;Selecionar Nome&gt;")</f>
        <v>&lt;Selecionar Nome&gt;</v>
      </c>
      <c r="E951">
        <f>176*tbEquipe[[#This Row],[Alocação]]</f>
        <v>0</v>
      </c>
      <c r="F951" s="34"/>
      <c r="G9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1" s="1"/>
    </row>
    <row r="952" spans="2:8" hidden="1" x14ac:dyDescent="0.25">
      <c r="B952" s="25" t="str">
        <f>IFERROR(VLOOKUP(tbEquipe[[#This Row],[Nome]],tbFOPAG[[Nome]:[Cargo]],2,0),"&lt;Selecionar Nome&gt;")</f>
        <v>&lt;Selecionar Nome&gt;</v>
      </c>
      <c r="E952">
        <f>176*tbEquipe[[#This Row],[Alocação]]</f>
        <v>0</v>
      </c>
      <c r="F952" s="34"/>
      <c r="G9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2" s="1"/>
    </row>
    <row r="953" spans="2:8" hidden="1" x14ac:dyDescent="0.25">
      <c r="B953" s="25" t="str">
        <f>IFERROR(VLOOKUP(tbEquipe[[#This Row],[Nome]],tbFOPAG[[Nome]:[Cargo]],2,0),"&lt;Selecionar Nome&gt;")</f>
        <v>&lt;Selecionar Nome&gt;</v>
      </c>
      <c r="E953">
        <f>176*tbEquipe[[#This Row],[Alocação]]</f>
        <v>0</v>
      </c>
      <c r="F953" s="34"/>
      <c r="G9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3" s="1"/>
    </row>
    <row r="954" spans="2:8" hidden="1" x14ac:dyDescent="0.25">
      <c r="B954" s="25" t="str">
        <f>IFERROR(VLOOKUP(tbEquipe[[#This Row],[Nome]],tbFOPAG[[Nome]:[Cargo]],2,0),"&lt;Selecionar Nome&gt;")</f>
        <v>&lt;Selecionar Nome&gt;</v>
      </c>
      <c r="E954">
        <f>176*tbEquipe[[#This Row],[Alocação]]</f>
        <v>0</v>
      </c>
      <c r="F954" s="34"/>
      <c r="G9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4" s="1"/>
    </row>
    <row r="955" spans="2:8" hidden="1" x14ac:dyDescent="0.25">
      <c r="B955" s="25" t="str">
        <f>IFERROR(VLOOKUP(tbEquipe[[#This Row],[Nome]],tbFOPAG[[Nome]:[Cargo]],2,0),"&lt;Selecionar Nome&gt;")</f>
        <v>&lt;Selecionar Nome&gt;</v>
      </c>
      <c r="E955">
        <f>176*tbEquipe[[#This Row],[Alocação]]</f>
        <v>0</v>
      </c>
      <c r="F955" s="34"/>
      <c r="G9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5" s="1"/>
    </row>
    <row r="956" spans="2:8" hidden="1" x14ac:dyDescent="0.25">
      <c r="B956" s="25" t="str">
        <f>IFERROR(VLOOKUP(tbEquipe[[#This Row],[Nome]],tbFOPAG[[Nome]:[Cargo]],2,0),"&lt;Selecionar Nome&gt;")</f>
        <v>&lt;Selecionar Nome&gt;</v>
      </c>
      <c r="E956">
        <f>176*tbEquipe[[#This Row],[Alocação]]</f>
        <v>0</v>
      </c>
      <c r="F956" s="34"/>
      <c r="G9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6" s="1"/>
    </row>
    <row r="957" spans="2:8" hidden="1" x14ac:dyDescent="0.25">
      <c r="B957" s="25" t="str">
        <f>IFERROR(VLOOKUP(tbEquipe[[#This Row],[Nome]],tbFOPAG[[Nome]:[Cargo]],2,0),"&lt;Selecionar Nome&gt;")</f>
        <v>&lt;Selecionar Nome&gt;</v>
      </c>
      <c r="E957">
        <f>176*tbEquipe[[#This Row],[Alocação]]</f>
        <v>0</v>
      </c>
      <c r="F957" s="34"/>
      <c r="G9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7" s="1"/>
    </row>
    <row r="958" spans="2:8" hidden="1" x14ac:dyDescent="0.25">
      <c r="B958" s="25" t="str">
        <f>IFERROR(VLOOKUP(tbEquipe[[#This Row],[Nome]],tbFOPAG[[Nome]:[Cargo]],2,0),"&lt;Selecionar Nome&gt;")</f>
        <v>&lt;Selecionar Nome&gt;</v>
      </c>
      <c r="E958">
        <f>176*tbEquipe[[#This Row],[Alocação]]</f>
        <v>0</v>
      </c>
      <c r="F958" s="34"/>
      <c r="G9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8" s="1"/>
    </row>
    <row r="959" spans="2:8" hidden="1" x14ac:dyDescent="0.25">
      <c r="B959" s="25" t="str">
        <f>IFERROR(VLOOKUP(tbEquipe[[#This Row],[Nome]],tbFOPAG[[Nome]:[Cargo]],2,0),"&lt;Selecionar Nome&gt;")</f>
        <v>&lt;Selecionar Nome&gt;</v>
      </c>
      <c r="E959">
        <f>176*tbEquipe[[#This Row],[Alocação]]</f>
        <v>0</v>
      </c>
      <c r="F959" s="34"/>
      <c r="G9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59" s="1"/>
    </row>
    <row r="960" spans="2:8" hidden="1" x14ac:dyDescent="0.25">
      <c r="B960" s="25" t="str">
        <f>IFERROR(VLOOKUP(tbEquipe[[#This Row],[Nome]],tbFOPAG[[Nome]:[Cargo]],2,0),"&lt;Selecionar Nome&gt;")</f>
        <v>&lt;Selecionar Nome&gt;</v>
      </c>
      <c r="E960">
        <f>176*tbEquipe[[#This Row],[Alocação]]</f>
        <v>0</v>
      </c>
      <c r="F960" s="34"/>
      <c r="G9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0" s="1"/>
    </row>
    <row r="961" spans="2:8" hidden="1" x14ac:dyDescent="0.25">
      <c r="B961" s="25" t="str">
        <f>IFERROR(VLOOKUP(tbEquipe[[#This Row],[Nome]],tbFOPAG[[Nome]:[Cargo]],2,0),"&lt;Selecionar Nome&gt;")</f>
        <v>&lt;Selecionar Nome&gt;</v>
      </c>
      <c r="E961">
        <f>176*tbEquipe[[#This Row],[Alocação]]</f>
        <v>0</v>
      </c>
      <c r="F961" s="34"/>
      <c r="G9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1" s="1"/>
    </row>
    <row r="962" spans="2:8" hidden="1" x14ac:dyDescent="0.25">
      <c r="B962" s="25" t="str">
        <f>IFERROR(VLOOKUP(tbEquipe[[#This Row],[Nome]],tbFOPAG[[Nome]:[Cargo]],2,0),"&lt;Selecionar Nome&gt;")</f>
        <v>&lt;Selecionar Nome&gt;</v>
      </c>
      <c r="E962">
        <f>176*tbEquipe[[#This Row],[Alocação]]</f>
        <v>0</v>
      </c>
      <c r="F962" s="34"/>
      <c r="G9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2" s="1"/>
    </row>
    <row r="963" spans="2:8" hidden="1" x14ac:dyDescent="0.25">
      <c r="B963" s="25" t="str">
        <f>IFERROR(VLOOKUP(tbEquipe[[#This Row],[Nome]],tbFOPAG[[Nome]:[Cargo]],2,0),"&lt;Selecionar Nome&gt;")</f>
        <v>&lt;Selecionar Nome&gt;</v>
      </c>
      <c r="E963">
        <f>176*tbEquipe[[#This Row],[Alocação]]</f>
        <v>0</v>
      </c>
      <c r="F963" s="34"/>
      <c r="G9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3" s="1"/>
    </row>
    <row r="964" spans="2:8" hidden="1" x14ac:dyDescent="0.25">
      <c r="B964" s="25" t="str">
        <f>IFERROR(VLOOKUP(tbEquipe[[#This Row],[Nome]],tbFOPAG[[Nome]:[Cargo]],2,0),"&lt;Selecionar Nome&gt;")</f>
        <v>&lt;Selecionar Nome&gt;</v>
      </c>
      <c r="E964">
        <f>176*tbEquipe[[#This Row],[Alocação]]</f>
        <v>0</v>
      </c>
      <c r="F964" s="34"/>
      <c r="G9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4" s="1"/>
    </row>
    <row r="965" spans="2:8" hidden="1" x14ac:dyDescent="0.25">
      <c r="B965" s="25" t="str">
        <f>IFERROR(VLOOKUP(tbEquipe[[#This Row],[Nome]],tbFOPAG[[Nome]:[Cargo]],2,0),"&lt;Selecionar Nome&gt;")</f>
        <v>&lt;Selecionar Nome&gt;</v>
      </c>
      <c r="E965">
        <f>176*tbEquipe[[#This Row],[Alocação]]</f>
        <v>0</v>
      </c>
      <c r="F965" s="34"/>
      <c r="G9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5" s="1"/>
    </row>
    <row r="966" spans="2:8" hidden="1" x14ac:dyDescent="0.25">
      <c r="B966" s="25" t="str">
        <f>IFERROR(VLOOKUP(tbEquipe[[#This Row],[Nome]],tbFOPAG[[Nome]:[Cargo]],2,0),"&lt;Selecionar Nome&gt;")</f>
        <v>&lt;Selecionar Nome&gt;</v>
      </c>
      <c r="E966">
        <f>176*tbEquipe[[#This Row],[Alocação]]</f>
        <v>0</v>
      </c>
      <c r="F966" s="34"/>
      <c r="G9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6" s="1"/>
    </row>
    <row r="967" spans="2:8" hidden="1" x14ac:dyDescent="0.25">
      <c r="B967" s="25" t="str">
        <f>IFERROR(VLOOKUP(tbEquipe[[#This Row],[Nome]],tbFOPAG[[Nome]:[Cargo]],2,0),"&lt;Selecionar Nome&gt;")</f>
        <v>&lt;Selecionar Nome&gt;</v>
      </c>
      <c r="E967">
        <f>176*tbEquipe[[#This Row],[Alocação]]</f>
        <v>0</v>
      </c>
      <c r="F967" s="34"/>
      <c r="G9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7" s="1"/>
    </row>
    <row r="968" spans="2:8" hidden="1" x14ac:dyDescent="0.25">
      <c r="B968" s="25" t="str">
        <f>IFERROR(VLOOKUP(tbEquipe[[#This Row],[Nome]],tbFOPAG[[Nome]:[Cargo]],2,0),"&lt;Selecionar Nome&gt;")</f>
        <v>&lt;Selecionar Nome&gt;</v>
      </c>
      <c r="E968">
        <f>176*tbEquipe[[#This Row],[Alocação]]</f>
        <v>0</v>
      </c>
      <c r="F968" s="34"/>
      <c r="G9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8" s="1"/>
    </row>
    <row r="969" spans="2:8" hidden="1" x14ac:dyDescent="0.25">
      <c r="B969" s="25" t="str">
        <f>IFERROR(VLOOKUP(tbEquipe[[#This Row],[Nome]],tbFOPAG[[Nome]:[Cargo]],2,0),"&lt;Selecionar Nome&gt;")</f>
        <v>&lt;Selecionar Nome&gt;</v>
      </c>
      <c r="E969">
        <f>176*tbEquipe[[#This Row],[Alocação]]</f>
        <v>0</v>
      </c>
      <c r="F969" s="34"/>
      <c r="G9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69" s="1"/>
    </row>
    <row r="970" spans="2:8" hidden="1" x14ac:dyDescent="0.25">
      <c r="B970" s="25" t="str">
        <f>IFERROR(VLOOKUP(tbEquipe[[#This Row],[Nome]],tbFOPAG[[Nome]:[Cargo]],2,0),"&lt;Selecionar Nome&gt;")</f>
        <v>&lt;Selecionar Nome&gt;</v>
      </c>
      <c r="E970">
        <f>176*tbEquipe[[#This Row],[Alocação]]</f>
        <v>0</v>
      </c>
      <c r="F970" s="34"/>
      <c r="G9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0" s="1"/>
    </row>
    <row r="971" spans="2:8" hidden="1" x14ac:dyDescent="0.25">
      <c r="B971" s="25" t="str">
        <f>IFERROR(VLOOKUP(tbEquipe[[#This Row],[Nome]],tbFOPAG[[Nome]:[Cargo]],2,0),"&lt;Selecionar Nome&gt;")</f>
        <v>&lt;Selecionar Nome&gt;</v>
      </c>
      <c r="E971">
        <f>176*tbEquipe[[#This Row],[Alocação]]</f>
        <v>0</v>
      </c>
      <c r="F971" s="34"/>
      <c r="G9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1" s="1"/>
    </row>
    <row r="972" spans="2:8" hidden="1" x14ac:dyDescent="0.25">
      <c r="B972" s="25" t="str">
        <f>IFERROR(VLOOKUP(tbEquipe[[#This Row],[Nome]],tbFOPAG[[Nome]:[Cargo]],2,0),"&lt;Selecionar Nome&gt;")</f>
        <v>&lt;Selecionar Nome&gt;</v>
      </c>
      <c r="E972">
        <f>176*tbEquipe[[#This Row],[Alocação]]</f>
        <v>0</v>
      </c>
      <c r="F972" s="34"/>
      <c r="G9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2" s="1"/>
    </row>
    <row r="973" spans="2:8" hidden="1" x14ac:dyDescent="0.25">
      <c r="B973" s="25" t="str">
        <f>IFERROR(VLOOKUP(tbEquipe[[#This Row],[Nome]],tbFOPAG[[Nome]:[Cargo]],2,0),"&lt;Selecionar Nome&gt;")</f>
        <v>&lt;Selecionar Nome&gt;</v>
      </c>
      <c r="E973">
        <f>176*tbEquipe[[#This Row],[Alocação]]</f>
        <v>0</v>
      </c>
      <c r="F973" s="34"/>
      <c r="G9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3" s="1"/>
    </row>
    <row r="974" spans="2:8" hidden="1" x14ac:dyDescent="0.25">
      <c r="B974" s="25" t="str">
        <f>IFERROR(VLOOKUP(tbEquipe[[#This Row],[Nome]],tbFOPAG[[Nome]:[Cargo]],2,0),"&lt;Selecionar Nome&gt;")</f>
        <v>&lt;Selecionar Nome&gt;</v>
      </c>
      <c r="E974">
        <f>176*tbEquipe[[#This Row],[Alocação]]</f>
        <v>0</v>
      </c>
      <c r="F974" s="34"/>
      <c r="G9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4" s="1"/>
    </row>
    <row r="975" spans="2:8" hidden="1" x14ac:dyDescent="0.25">
      <c r="B975" s="25" t="str">
        <f>IFERROR(VLOOKUP(tbEquipe[[#This Row],[Nome]],tbFOPAG[[Nome]:[Cargo]],2,0),"&lt;Selecionar Nome&gt;")</f>
        <v>&lt;Selecionar Nome&gt;</v>
      </c>
      <c r="E975">
        <f>176*tbEquipe[[#This Row],[Alocação]]</f>
        <v>0</v>
      </c>
      <c r="F975" s="34"/>
      <c r="G9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5" s="1"/>
    </row>
    <row r="976" spans="2:8" hidden="1" x14ac:dyDescent="0.25">
      <c r="B976" s="25" t="str">
        <f>IFERROR(VLOOKUP(tbEquipe[[#This Row],[Nome]],tbFOPAG[[Nome]:[Cargo]],2,0),"&lt;Selecionar Nome&gt;")</f>
        <v>&lt;Selecionar Nome&gt;</v>
      </c>
      <c r="E976">
        <f>176*tbEquipe[[#This Row],[Alocação]]</f>
        <v>0</v>
      </c>
      <c r="F976" s="34"/>
      <c r="G9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6" s="1"/>
    </row>
    <row r="977" spans="2:8" hidden="1" x14ac:dyDescent="0.25">
      <c r="B977" s="25" t="str">
        <f>IFERROR(VLOOKUP(tbEquipe[[#This Row],[Nome]],tbFOPAG[[Nome]:[Cargo]],2,0),"&lt;Selecionar Nome&gt;")</f>
        <v>&lt;Selecionar Nome&gt;</v>
      </c>
      <c r="E977">
        <f>176*tbEquipe[[#This Row],[Alocação]]</f>
        <v>0</v>
      </c>
      <c r="F977" s="34"/>
      <c r="G9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7" s="1"/>
    </row>
    <row r="978" spans="2:8" hidden="1" x14ac:dyDescent="0.25">
      <c r="B978" s="25" t="str">
        <f>IFERROR(VLOOKUP(tbEquipe[[#This Row],[Nome]],tbFOPAG[[Nome]:[Cargo]],2,0),"&lt;Selecionar Nome&gt;")</f>
        <v>&lt;Selecionar Nome&gt;</v>
      </c>
      <c r="E978">
        <f>176*tbEquipe[[#This Row],[Alocação]]</f>
        <v>0</v>
      </c>
      <c r="F978" s="34"/>
      <c r="G9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8" s="1"/>
    </row>
    <row r="979" spans="2:8" hidden="1" x14ac:dyDescent="0.25">
      <c r="B979" s="25" t="str">
        <f>IFERROR(VLOOKUP(tbEquipe[[#This Row],[Nome]],tbFOPAG[[Nome]:[Cargo]],2,0),"&lt;Selecionar Nome&gt;")</f>
        <v>&lt;Selecionar Nome&gt;</v>
      </c>
      <c r="E979">
        <f>176*tbEquipe[[#This Row],[Alocação]]</f>
        <v>0</v>
      </c>
      <c r="F979" s="34"/>
      <c r="G9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79" s="1"/>
    </row>
    <row r="980" spans="2:8" hidden="1" x14ac:dyDescent="0.25">
      <c r="B980" s="25" t="str">
        <f>IFERROR(VLOOKUP(tbEquipe[[#This Row],[Nome]],tbFOPAG[[Nome]:[Cargo]],2,0),"&lt;Selecionar Nome&gt;")</f>
        <v>&lt;Selecionar Nome&gt;</v>
      </c>
      <c r="E980">
        <f>176*tbEquipe[[#This Row],[Alocação]]</f>
        <v>0</v>
      </c>
      <c r="F980" s="34"/>
      <c r="G9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0" s="1"/>
    </row>
    <row r="981" spans="2:8" hidden="1" x14ac:dyDescent="0.25">
      <c r="B981" s="25" t="str">
        <f>IFERROR(VLOOKUP(tbEquipe[[#This Row],[Nome]],tbFOPAG[[Nome]:[Cargo]],2,0),"&lt;Selecionar Nome&gt;")</f>
        <v>&lt;Selecionar Nome&gt;</v>
      </c>
      <c r="E981">
        <f>176*tbEquipe[[#This Row],[Alocação]]</f>
        <v>0</v>
      </c>
      <c r="F981" s="34"/>
      <c r="G9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1" s="1"/>
    </row>
    <row r="982" spans="2:8" hidden="1" x14ac:dyDescent="0.25">
      <c r="B982" s="25" t="str">
        <f>IFERROR(VLOOKUP(tbEquipe[[#This Row],[Nome]],tbFOPAG[[Nome]:[Cargo]],2,0),"&lt;Selecionar Nome&gt;")</f>
        <v>&lt;Selecionar Nome&gt;</v>
      </c>
      <c r="E982">
        <f>176*tbEquipe[[#This Row],[Alocação]]</f>
        <v>0</v>
      </c>
      <c r="F982" s="34"/>
      <c r="G9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2" s="1"/>
    </row>
    <row r="983" spans="2:8" hidden="1" x14ac:dyDescent="0.25">
      <c r="B983" s="25" t="str">
        <f>IFERROR(VLOOKUP(tbEquipe[[#This Row],[Nome]],tbFOPAG[[Nome]:[Cargo]],2,0),"&lt;Selecionar Nome&gt;")</f>
        <v>&lt;Selecionar Nome&gt;</v>
      </c>
      <c r="E983">
        <f>176*tbEquipe[[#This Row],[Alocação]]</f>
        <v>0</v>
      </c>
      <c r="F983" s="34"/>
      <c r="G9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3" s="1"/>
    </row>
    <row r="984" spans="2:8" hidden="1" x14ac:dyDescent="0.25">
      <c r="B984" s="25" t="str">
        <f>IFERROR(VLOOKUP(tbEquipe[[#This Row],[Nome]],tbFOPAG[[Nome]:[Cargo]],2,0),"&lt;Selecionar Nome&gt;")</f>
        <v>&lt;Selecionar Nome&gt;</v>
      </c>
      <c r="E984">
        <f>176*tbEquipe[[#This Row],[Alocação]]</f>
        <v>0</v>
      </c>
      <c r="F984" s="34"/>
      <c r="G9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4" s="1"/>
    </row>
    <row r="985" spans="2:8" hidden="1" x14ac:dyDescent="0.25">
      <c r="B985" s="25" t="str">
        <f>IFERROR(VLOOKUP(tbEquipe[[#This Row],[Nome]],tbFOPAG[[Nome]:[Cargo]],2,0),"&lt;Selecionar Nome&gt;")</f>
        <v>&lt;Selecionar Nome&gt;</v>
      </c>
      <c r="E985">
        <f>176*tbEquipe[[#This Row],[Alocação]]</f>
        <v>0</v>
      </c>
      <c r="F985" s="34"/>
      <c r="G9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5" s="1"/>
    </row>
    <row r="986" spans="2:8" hidden="1" x14ac:dyDescent="0.25">
      <c r="B986" s="25" t="str">
        <f>IFERROR(VLOOKUP(tbEquipe[[#This Row],[Nome]],tbFOPAG[[Nome]:[Cargo]],2,0),"&lt;Selecionar Nome&gt;")</f>
        <v>&lt;Selecionar Nome&gt;</v>
      </c>
      <c r="E986">
        <f>176*tbEquipe[[#This Row],[Alocação]]</f>
        <v>0</v>
      </c>
      <c r="F986" s="34"/>
      <c r="G9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6" s="1"/>
    </row>
    <row r="987" spans="2:8" hidden="1" x14ac:dyDescent="0.25">
      <c r="B987" s="25" t="str">
        <f>IFERROR(VLOOKUP(tbEquipe[[#This Row],[Nome]],tbFOPAG[[Nome]:[Cargo]],2,0),"&lt;Selecionar Nome&gt;")</f>
        <v>&lt;Selecionar Nome&gt;</v>
      </c>
      <c r="E987">
        <f>176*tbEquipe[[#This Row],[Alocação]]</f>
        <v>0</v>
      </c>
      <c r="F987" s="34"/>
      <c r="G9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7" s="1"/>
    </row>
    <row r="988" spans="2:8" hidden="1" x14ac:dyDescent="0.25">
      <c r="B988" s="25" t="str">
        <f>IFERROR(VLOOKUP(tbEquipe[[#This Row],[Nome]],tbFOPAG[[Nome]:[Cargo]],2,0),"&lt;Selecionar Nome&gt;")</f>
        <v>&lt;Selecionar Nome&gt;</v>
      </c>
      <c r="E988">
        <f>176*tbEquipe[[#This Row],[Alocação]]</f>
        <v>0</v>
      </c>
      <c r="F988" s="34"/>
      <c r="G9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8" s="1"/>
    </row>
    <row r="989" spans="2:8" hidden="1" x14ac:dyDescent="0.25">
      <c r="B989" s="25" t="str">
        <f>IFERROR(VLOOKUP(tbEquipe[[#This Row],[Nome]],tbFOPAG[[Nome]:[Cargo]],2,0),"&lt;Selecionar Nome&gt;")</f>
        <v>&lt;Selecionar Nome&gt;</v>
      </c>
      <c r="E989">
        <f>176*tbEquipe[[#This Row],[Alocação]]</f>
        <v>0</v>
      </c>
      <c r="F989" s="34"/>
      <c r="G9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89" s="1"/>
    </row>
    <row r="990" spans="2:8" hidden="1" x14ac:dyDescent="0.25">
      <c r="B990" s="25" t="str">
        <f>IFERROR(VLOOKUP(tbEquipe[[#This Row],[Nome]],tbFOPAG[[Nome]:[Cargo]],2,0),"&lt;Selecionar Nome&gt;")</f>
        <v>&lt;Selecionar Nome&gt;</v>
      </c>
      <c r="E990">
        <f>176*tbEquipe[[#This Row],[Alocação]]</f>
        <v>0</v>
      </c>
      <c r="F990" s="34"/>
      <c r="G9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0" s="1"/>
    </row>
    <row r="991" spans="2:8" hidden="1" x14ac:dyDescent="0.25">
      <c r="B991" s="25" t="str">
        <f>IFERROR(VLOOKUP(tbEquipe[[#This Row],[Nome]],tbFOPAG[[Nome]:[Cargo]],2,0),"&lt;Selecionar Nome&gt;")</f>
        <v>&lt;Selecionar Nome&gt;</v>
      </c>
      <c r="E991">
        <f>176*tbEquipe[[#This Row],[Alocação]]</f>
        <v>0</v>
      </c>
      <c r="F991" s="34"/>
      <c r="G9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1" s="1"/>
    </row>
    <row r="992" spans="2:8" hidden="1" x14ac:dyDescent="0.25">
      <c r="B992" s="25" t="str">
        <f>IFERROR(VLOOKUP(tbEquipe[[#This Row],[Nome]],tbFOPAG[[Nome]:[Cargo]],2,0),"&lt;Selecionar Nome&gt;")</f>
        <v>&lt;Selecionar Nome&gt;</v>
      </c>
      <c r="E992">
        <f>176*tbEquipe[[#This Row],[Alocação]]</f>
        <v>0</v>
      </c>
      <c r="F992" s="34"/>
      <c r="G9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2" s="1"/>
    </row>
    <row r="993" spans="2:8" hidden="1" x14ac:dyDescent="0.25">
      <c r="B993" s="25" t="str">
        <f>IFERROR(VLOOKUP(tbEquipe[[#This Row],[Nome]],tbFOPAG[[Nome]:[Cargo]],2,0),"&lt;Selecionar Nome&gt;")</f>
        <v>&lt;Selecionar Nome&gt;</v>
      </c>
      <c r="E993">
        <f>176*tbEquipe[[#This Row],[Alocação]]</f>
        <v>0</v>
      </c>
      <c r="F993" s="34"/>
      <c r="G9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3" s="1"/>
    </row>
    <row r="994" spans="2:8" hidden="1" x14ac:dyDescent="0.25">
      <c r="B994" s="25" t="str">
        <f>IFERROR(VLOOKUP(tbEquipe[[#This Row],[Nome]],tbFOPAG[[Nome]:[Cargo]],2,0),"&lt;Selecionar Nome&gt;")</f>
        <v>&lt;Selecionar Nome&gt;</v>
      </c>
      <c r="E994">
        <f>176*tbEquipe[[#This Row],[Alocação]]</f>
        <v>0</v>
      </c>
      <c r="F994" s="34"/>
      <c r="G9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4" s="1"/>
    </row>
    <row r="995" spans="2:8" hidden="1" x14ac:dyDescent="0.25">
      <c r="B995" s="25" t="str">
        <f>IFERROR(VLOOKUP(tbEquipe[[#This Row],[Nome]],tbFOPAG[[Nome]:[Cargo]],2,0),"&lt;Selecionar Nome&gt;")</f>
        <v>&lt;Selecionar Nome&gt;</v>
      </c>
      <c r="E995">
        <f>176*tbEquipe[[#This Row],[Alocação]]</f>
        <v>0</v>
      </c>
      <c r="F995" s="34"/>
      <c r="G9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5" s="1"/>
    </row>
    <row r="996" spans="2:8" hidden="1" x14ac:dyDescent="0.25">
      <c r="B996" s="25" t="str">
        <f>IFERROR(VLOOKUP(tbEquipe[[#This Row],[Nome]],tbFOPAG[[Nome]:[Cargo]],2,0),"&lt;Selecionar Nome&gt;")</f>
        <v>&lt;Selecionar Nome&gt;</v>
      </c>
      <c r="E996">
        <f>176*tbEquipe[[#This Row],[Alocação]]</f>
        <v>0</v>
      </c>
      <c r="F996" s="34"/>
      <c r="G9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6" s="1"/>
    </row>
    <row r="997" spans="2:8" hidden="1" x14ac:dyDescent="0.25">
      <c r="B997" s="25" t="str">
        <f>IFERROR(VLOOKUP(tbEquipe[[#This Row],[Nome]],tbFOPAG[[Nome]:[Cargo]],2,0),"&lt;Selecionar Nome&gt;")</f>
        <v>&lt;Selecionar Nome&gt;</v>
      </c>
      <c r="E997">
        <f>176*tbEquipe[[#This Row],[Alocação]]</f>
        <v>0</v>
      </c>
      <c r="F997" s="34"/>
      <c r="G9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7" s="1"/>
    </row>
    <row r="998" spans="2:8" hidden="1" x14ac:dyDescent="0.25">
      <c r="B998" s="25" t="str">
        <f>IFERROR(VLOOKUP(tbEquipe[[#This Row],[Nome]],tbFOPAG[[Nome]:[Cargo]],2,0),"&lt;Selecionar Nome&gt;")</f>
        <v>&lt;Selecionar Nome&gt;</v>
      </c>
      <c r="E998">
        <f>176*tbEquipe[[#This Row],[Alocação]]</f>
        <v>0</v>
      </c>
      <c r="F998" s="34"/>
      <c r="G9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8" s="1"/>
    </row>
    <row r="999" spans="2:8" hidden="1" x14ac:dyDescent="0.25">
      <c r="B999" s="25" t="str">
        <f>IFERROR(VLOOKUP(tbEquipe[[#This Row],[Nome]],tbFOPAG[[Nome]:[Cargo]],2,0),"&lt;Selecionar Nome&gt;")</f>
        <v>&lt;Selecionar Nome&gt;</v>
      </c>
      <c r="E999">
        <f>176*tbEquipe[[#This Row],[Alocação]]</f>
        <v>0</v>
      </c>
      <c r="F999" s="34"/>
      <c r="G9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999" s="1"/>
    </row>
    <row r="1000" spans="2:8" hidden="1" x14ac:dyDescent="0.25">
      <c r="B1000" s="25" t="str">
        <f>IFERROR(VLOOKUP(tbEquipe[[#This Row],[Nome]],tbFOPAG[[Nome]:[Cargo]],2,0),"&lt;Selecionar Nome&gt;")</f>
        <v>&lt;Selecionar Nome&gt;</v>
      </c>
      <c r="E1000">
        <f>176*tbEquipe[[#This Row],[Alocação]]</f>
        <v>0</v>
      </c>
      <c r="F1000" s="34"/>
      <c r="G10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0" s="1"/>
    </row>
    <row r="1001" spans="2:8" hidden="1" x14ac:dyDescent="0.25">
      <c r="B1001" s="25" t="str">
        <f>IFERROR(VLOOKUP(tbEquipe[[#This Row],[Nome]],tbFOPAG[[Nome]:[Cargo]],2,0),"&lt;Selecionar Nome&gt;")</f>
        <v>&lt;Selecionar Nome&gt;</v>
      </c>
      <c r="E1001">
        <f>176*tbEquipe[[#This Row],[Alocação]]</f>
        <v>0</v>
      </c>
      <c r="F1001" s="34"/>
      <c r="G10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1" s="1"/>
    </row>
    <row r="1002" spans="2:8" hidden="1" x14ac:dyDescent="0.25">
      <c r="B1002" s="25" t="str">
        <f>IFERROR(VLOOKUP(tbEquipe[[#This Row],[Nome]],tbFOPAG[[Nome]:[Cargo]],2,0),"&lt;Selecionar Nome&gt;")</f>
        <v>&lt;Selecionar Nome&gt;</v>
      </c>
      <c r="E1002">
        <f>176*tbEquipe[[#This Row],[Alocação]]</f>
        <v>0</v>
      </c>
      <c r="F1002" s="34"/>
      <c r="G10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2" s="1"/>
    </row>
    <row r="1003" spans="2:8" hidden="1" x14ac:dyDescent="0.25">
      <c r="B1003" s="25" t="str">
        <f>IFERROR(VLOOKUP(tbEquipe[[#This Row],[Nome]],tbFOPAG[[Nome]:[Cargo]],2,0),"&lt;Selecionar Nome&gt;")</f>
        <v>&lt;Selecionar Nome&gt;</v>
      </c>
      <c r="E1003">
        <f>176*tbEquipe[[#This Row],[Alocação]]</f>
        <v>0</v>
      </c>
      <c r="F1003" s="34"/>
      <c r="G10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3" s="1"/>
    </row>
    <row r="1004" spans="2:8" hidden="1" x14ac:dyDescent="0.25">
      <c r="B1004" s="25" t="str">
        <f>IFERROR(VLOOKUP(tbEquipe[[#This Row],[Nome]],tbFOPAG[[Nome]:[Cargo]],2,0),"&lt;Selecionar Nome&gt;")</f>
        <v>&lt;Selecionar Nome&gt;</v>
      </c>
      <c r="E1004">
        <f>176*tbEquipe[[#This Row],[Alocação]]</f>
        <v>0</v>
      </c>
      <c r="F1004" s="34"/>
      <c r="G10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4" s="1"/>
    </row>
    <row r="1005" spans="2:8" hidden="1" x14ac:dyDescent="0.25">
      <c r="B1005" s="25" t="str">
        <f>IFERROR(VLOOKUP(tbEquipe[[#This Row],[Nome]],tbFOPAG[[Nome]:[Cargo]],2,0),"&lt;Selecionar Nome&gt;")</f>
        <v>&lt;Selecionar Nome&gt;</v>
      </c>
      <c r="E1005">
        <f>176*tbEquipe[[#This Row],[Alocação]]</f>
        <v>0</v>
      </c>
      <c r="F1005" s="34"/>
      <c r="G10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5" s="1"/>
    </row>
    <row r="1006" spans="2:8" hidden="1" x14ac:dyDescent="0.25">
      <c r="B1006" s="25" t="str">
        <f>IFERROR(VLOOKUP(tbEquipe[[#This Row],[Nome]],tbFOPAG[[Nome]:[Cargo]],2,0),"&lt;Selecionar Nome&gt;")</f>
        <v>&lt;Selecionar Nome&gt;</v>
      </c>
      <c r="E1006">
        <f>176*tbEquipe[[#This Row],[Alocação]]</f>
        <v>0</v>
      </c>
      <c r="F1006" s="34"/>
      <c r="G10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6" s="1"/>
    </row>
    <row r="1007" spans="2:8" hidden="1" x14ac:dyDescent="0.25">
      <c r="B1007" s="25" t="str">
        <f>IFERROR(VLOOKUP(tbEquipe[[#This Row],[Nome]],tbFOPAG[[Nome]:[Cargo]],2,0),"&lt;Selecionar Nome&gt;")</f>
        <v>&lt;Selecionar Nome&gt;</v>
      </c>
      <c r="E1007">
        <f>176*tbEquipe[[#This Row],[Alocação]]</f>
        <v>0</v>
      </c>
      <c r="F1007" s="34"/>
      <c r="G10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7" s="1"/>
    </row>
    <row r="1008" spans="2:8" hidden="1" x14ac:dyDescent="0.25">
      <c r="B1008" s="25" t="str">
        <f>IFERROR(VLOOKUP(tbEquipe[[#This Row],[Nome]],tbFOPAG[[Nome]:[Cargo]],2,0),"&lt;Selecionar Nome&gt;")</f>
        <v>&lt;Selecionar Nome&gt;</v>
      </c>
      <c r="E1008">
        <f>176*tbEquipe[[#This Row],[Alocação]]</f>
        <v>0</v>
      </c>
      <c r="F1008" s="34"/>
      <c r="G10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8" s="1"/>
    </row>
    <row r="1009" spans="2:8" hidden="1" x14ac:dyDescent="0.25">
      <c r="B1009" s="25" t="str">
        <f>IFERROR(VLOOKUP(tbEquipe[[#This Row],[Nome]],tbFOPAG[[Nome]:[Cargo]],2,0),"&lt;Selecionar Nome&gt;")</f>
        <v>&lt;Selecionar Nome&gt;</v>
      </c>
      <c r="E1009">
        <f>176*tbEquipe[[#This Row],[Alocação]]</f>
        <v>0</v>
      </c>
      <c r="F1009" s="34"/>
      <c r="G10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09" s="1"/>
    </row>
    <row r="1010" spans="2:8" hidden="1" x14ac:dyDescent="0.25">
      <c r="B1010" s="25" t="str">
        <f>IFERROR(VLOOKUP(tbEquipe[[#This Row],[Nome]],tbFOPAG[[Nome]:[Cargo]],2,0),"&lt;Selecionar Nome&gt;")</f>
        <v>&lt;Selecionar Nome&gt;</v>
      </c>
      <c r="E1010">
        <f>176*tbEquipe[[#This Row],[Alocação]]</f>
        <v>0</v>
      </c>
      <c r="F1010" s="34"/>
      <c r="G10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0" s="1"/>
    </row>
    <row r="1011" spans="2:8" hidden="1" x14ac:dyDescent="0.25">
      <c r="B1011" s="25" t="str">
        <f>IFERROR(VLOOKUP(tbEquipe[[#This Row],[Nome]],tbFOPAG[[Nome]:[Cargo]],2,0),"&lt;Selecionar Nome&gt;")</f>
        <v>&lt;Selecionar Nome&gt;</v>
      </c>
      <c r="E1011">
        <f>176*tbEquipe[[#This Row],[Alocação]]</f>
        <v>0</v>
      </c>
      <c r="F1011" s="34"/>
      <c r="G10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1" s="1"/>
    </row>
    <row r="1012" spans="2:8" hidden="1" x14ac:dyDescent="0.25">
      <c r="B1012" s="25" t="str">
        <f>IFERROR(VLOOKUP(tbEquipe[[#This Row],[Nome]],tbFOPAG[[Nome]:[Cargo]],2,0),"&lt;Selecionar Nome&gt;")</f>
        <v>&lt;Selecionar Nome&gt;</v>
      </c>
      <c r="E1012">
        <f>176*tbEquipe[[#This Row],[Alocação]]</f>
        <v>0</v>
      </c>
      <c r="F1012" s="34"/>
      <c r="G10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2" s="1"/>
    </row>
    <row r="1013" spans="2:8" hidden="1" x14ac:dyDescent="0.25">
      <c r="B1013" s="25" t="str">
        <f>IFERROR(VLOOKUP(tbEquipe[[#This Row],[Nome]],tbFOPAG[[Nome]:[Cargo]],2,0),"&lt;Selecionar Nome&gt;")</f>
        <v>&lt;Selecionar Nome&gt;</v>
      </c>
      <c r="E1013">
        <f>176*tbEquipe[[#This Row],[Alocação]]</f>
        <v>0</v>
      </c>
      <c r="F1013" s="34"/>
      <c r="G10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3" s="1"/>
    </row>
    <row r="1014" spans="2:8" hidden="1" x14ac:dyDescent="0.25">
      <c r="B1014" s="25" t="str">
        <f>IFERROR(VLOOKUP(tbEquipe[[#This Row],[Nome]],tbFOPAG[[Nome]:[Cargo]],2,0),"&lt;Selecionar Nome&gt;")</f>
        <v>&lt;Selecionar Nome&gt;</v>
      </c>
      <c r="E1014">
        <f>176*tbEquipe[[#This Row],[Alocação]]</f>
        <v>0</v>
      </c>
      <c r="F1014" s="34"/>
      <c r="G10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4" s="1"/>
    </row>
    <row r="1015" spans="2:8" hidden="1" x14ac:dyDescent="0.25">
      <c r="B1015" s="25" t="str">
        <f>IFERROR(VLOOKUP(tbEquipe[[#This Row],[Nome]],tbFOPAG[[Nome]:[Cargo]],2,0),"&lt;Selecionar Nome&gt;")</f>
        <v>&lt;Selecionar Nome&gt;</v>
      </c>
      <c r="E1015">
        <f>176*tbEquipe[[#This Row],[Alocação]]</f>
        <v>0</v>
      </c>
      <c r="F1015" s="34"/>
      <c r="G10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5" s="1"/>
    </row>
    <row r="1016" spans="2:8" hidden="1" x14ac:dyDescent="0.25">
      <c r="B1016" s="25" t="str">
        <f>IFERROR(VLOOKUP(tbEquipe[[#This Row],[Nome]],tbFOPAG[[Nome]:[Cargo]],2,0),"&lt;Selecionar Nome&gt;")</f>
        <v>&lt;Selecionar Nome&gt;</v>
      </c>
      <c r="E1016">
        <f>176*tbEquipe[[#This Row],[Alocação]]</f>
        <v>0</v>
      </c>
      <c r="F1016" s="34"/>
      <c r="G10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6" s="1"/>
    </row>
    <row r="1017" spans="2:8" hidden="1" x14ac:dyDescent="0.25">
      <c r="B1017" s="25" t="str">
        <f>IFERROR(VLOOKUP(tbEquipe[[#This Row],[Nome]],tbFOPAG[[Nome]:[Cargo]],2,0),"&lt;Selecionar Nome&gt;")</f>
        <v>&lt;Selecionar Nome&gt;</v>
      </c>
      <c r="E1017">
        <f>176*tbEquipe[[#This Row],[Alocação]]</f>
        <v>0</v>
      </c>
      <c r="F1017" s="34"/>
      <c r="G10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7" s="1"/>
    </row>
    <row r="1018" spans="2:8" hidden="1" x14ac:dyDescent="0.25">
      <c r="B1018" s="25" t="str">
        <f>IFERROR(VLOOKUP(tbEquipe[[#This Row],[Nome]],tbFOPAG[[Nome]:[Cargo]],2,0),"&lt;Selecionar Nome&gt;")</f>
        <v>&lt;Selecionar Nome&gt;</v>
      </c>
      <c r="E1018">
        <f>176*tbEquipe[[#This Row],[Alocação]]</f>
        <v>0</v>
      </c>
      <c r="F1018" s="34"/>
      <c r="G10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8" s="1"/>
    </row>
    <row r="1019" spans="2:8" hidden="1" x14ac:dyDescent="0.25">
      <c r="B1019" s="25" t="str">
        <f>IFERROR(VLOOKUP(tbEquipe[[#This Row],[Nome]],tbFOPAG[[Nome]:[Cargo]],2,0),"&lt;Selecionar Nome&gt;")</f>
        <v>&lt;Selecionar Nome&gt;</v>
      </c>
      <c r="E1019">
        <f>176*tbEquipe[[#This Row],[Alocação]]</f>
        <v>0</v>
      </c>
      <c r="F1019" s="34"/>
      <c r="G10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19" s="1"/>
    </row>
    <row r="1020" spans="2:8" hidden="1" x14ac:dyDescent="0.25">
      <c r="B1020" s="25" t="str">
        <f>IFERROR(VLOOKUP(tbEquipe[[#This Row],[Nome]],tbFOPAG[[Nome]:[Cargo]],2,0),"&lt;Selecionar Nome&gt;")</f>
        <v>&lt;Selecionar Nome&gt;</v>
      </c>
      <c r="E1020">
        <f>176*tbEquipe[[#This Row],[Alocação]]</f>
        <v>0</v>
      </c>
      <c r="F1020" s="34"/>
      <c r="G10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0" s="1"/>
    </row>
    <row r="1021" spans="2:8" hidden="1" x14ac:dyDescent="0.25">
      <c r="B1021" s="25" t="str">
        <f>IFERROR(VLOOKUP(tbEquipe[[#This Row],[Nome]],tbFOPAG[[Nome]:[Cargo]],2,0),"&lt;Selecionar Nome&gt;")</f>
        <v>&lt;Selecionar Nome&gt;</v>
      </c>
      <c r="E1021">
        <f>176*tbEquipe[[#This Row],[Alocação]]</f>
        <v>0</v>
      </c>
      <c r="F1021" s="34"/>
      <c r="G10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1" s="1"/>
    </row>
    <row r="1022" spans="2:8" hidden="1" x14ac:dyDescent="0.25">
      <c r="B1022" s="25" t="str">
        <f>IFERROR(VLOOKUP(tbEquipe[[#This Row],[Nome]],tbFOPAG[[Nome]:[Cargo]],2,0),"&lt;Selecionar Nome&gt;")</f>
        <v>&lt;Selecionar Nome&gt;</v>
      </c>
      <c r="E1022">
        <f>176*tbEquipe[[#This Row],[Alocação]]</f>
        <v>0</v>
      </c>
      <c r="F1022" s="34"/>
      <c r="G10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2" s="1"/>
    </row>
    <row r="1023" spans="2:8" hidden="1" x14ac:dyDescent="0.25">
      <c r="B1023" s="25" t="str">
        <f>IFERROR(VLOOKUP(tbEquipe[[#This Row],[Nome]],tbFOPAG[[Nome]:[Cargo]],2,0),"&lt;Selecionar Nome&gt;")</f>
        <v>&lt;Selecionar Nome&gt;</v>
      </c>
      <c r="E1023">
        <f>176*tbEquipe[[#This Row],[Alocação]]</f>
        <v>0</v>
      </c>
      <c r="F1023" s="34"/>
      <c r="G10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3" s="1"/>
    </row>
    <row r="1024" spans="2:8" hidden="1" x14ac:dyDescent="0.25">
      <c r="B1024" s="25" t="str">
        <f>IFERROR(VLOOKUP(tbEquipe[[#This Row],[Nome]],tbFOPAG[[Nome]:[Cargo]],2,0),"&lt;Selecionar Nome&gt;")</f>
        <v>&lt;Selecionar Nome&gt;</v>
      </c>
      <c r="E1024">
        <f>176*tbEquipe[[#This Row],[Alocação]]</f>
        <v>0</v>
      </c>
      <c r="F1024" s="34"/>
      <c r="G10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4" s="1"/>
    </row>
    <row r="1025" spans="2:8" hidden="1" x14ac:dyDescent="0.25">
      <c r="B1025" s="25" t="str">
        <f>IFERROR(VLOOKUP(tbEquipe[[#This Row],[Nome]],tbFOPAG[[Nome]:[Cargo]],2,0),"&lt;Selecionar Nome&gt;")</f>
        <v>&lt;Selecionar Nome&gt;</v>
      </c>
      <c r="E1025">
        <f>176*tbEquipe[[#This Row],[Alocação]]</f>
        <v>0</v>
      </c>
      <c r="F1025" s="34"/>
      <c r="G10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5" s="1"/>
    </row>
    <row r="1026" spans="2:8" hidden="1" x14ac:dyDescent="0.25">
      <c r="B1026" s="25" t="str">
        <f>IFERROR(VLOOKUP(tbEquipe[[#This Row],[Nome]],tbFOPAG[[Nome]:[Cargo]],2,0),"&lt;Selecionar Nome&gt;")</f>
        <v>&lt;Selecionar Nome&gt;</v>
      </c>
      <c r="E1026">
        <f>176*tbEquipe[[#This Row],[Alocação]]</f>
        <v>0</v>
      </c>
      <c r="F1026" s="34"/>
      <c r="G10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6" s="1"/>
    </row>
    <row r="1027" spans="2:8" hidden="1" x14ac:dyDescent="0.25">
      <c r="B1027" s="25" t="str">
        <f>IFERROR(VLOOKUP(tbEquipe[[#This Row],[Nome]],tbFOPAG[[Nome]:[Cargo]],2,0),"&lt;Selecionar Nome&gt;")</f>
        <v>&lt;Selecionar Nome&gt;</v>
      </c>
      <c r="E1027">
        <f>176*tbEquipe[[#This Row],[Alocação]]</f>
        <v>0</v>
      </c>
      <c r="F1027" s="34"/>
      <c r="G10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7" s="1"/>
    </row>
    <row r="1028" spans="2:8" hidden="1" x14ac:dyDescent="0.25">
      <c r="B1028" s="25" t="str">
        <f>IFERROR(VLOOKUP(tbEquipe[[#This Row],[Nome]],tbFOPAG[[Nome]:[Cargo]],2,0),"&lt;Selecionar Nome&gt;")</f>
        <v>&lt;Selecionar Nome&gt;</v>
      </c>
      <c r="E1028">
        <f>176*tbEquipe[[#This Row],[Alocação]]</f>
        <v>0</v>
      </c>
      <c r="F1028" s="34"/>
      <c r="G10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8" s="1"/>
    </row>
    <row r="1029" spans="2:8" hidden="1" x14ac:dyDescent="0.25">
      <c r="B1029" s="25" t="str">
        <f>IFERROR(VLOOKUP(tbEquipe[[#This Row],[Nome]],tbFOPAG[[Nome]:[Cargo]],2,0),"&lt;Selecionar Nome&gt;")</f>
        <v>&lt;Selecionar Nome&gt;</v>
      </c>
      <c r="E1029">
        <f>176*tbEquipe[[#This Row],[Alocação]]</f>
        <v>0</v>
      </c>
      <c r="F1029" s="34"/>
      <c r="G10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29" s="1"/>
    </row>
    <row r="1030" spans="2:8" hidden="1" x14ac:dyDescent="0.25">
      <c r="B1030" s="25" t="str">
        <f>IFERROR(VLOOKUP(tbEquipe[[#This Row],[Nome]],tbFOPAG[[Nome]:[Cargo]],2,0),"&lt;Selecionar Nome&gt;")</f>
        <v>&lt;Selecionar Nome&gt;</v>
      </c>
      <c r="E1030">
        <f>176*tbEquipe[[#This Row],[Alocação]]</f>
        <v>0</v>
      </c>
      <c r="F1030" s="34"/>
      <c r="G10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0" s="1"/>
    </row>
    <row r="1031" spans="2:8" hidden="1" x14ac:dyDescent="0.25">
      <c r="B1031" s="25" t="str">
        <f>IFERROR(VLOOKUP(tbEquipe[[#This Row],[Nome]],tbFOPAG[[Nome]:[Cargo]],2,0),"&lt;Selecionar Nome&gt;")</f>
        <v>&lt;Selecionar Nome&gt;</v>
      </c>
      <c r="E1031">
        <f>176*tbEquipe[[#This Row],[Alocação]]</f>
        <v>0</v>
      </c>
      <c r="F1031" s="34"/>
      <c r="G10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1" s="1"/>
    </row>
    <row r="1032" spans="2:8" hidden="1" x14ac:dyDescent="0.25">
      <c r="B1032" s="25" t="str">
        <f>IFERROR(VLOOKUP(tbEquipe[[#This Row],[Nome]],tbFOPAG[[Nome]:[Cargo]],2,0),"&lt;Selecionar Nome&gt;")</f>
        <v>&lt;Selecionar Nome&gt;</v>
      </c>
      <c r="E1032">
        <f>176*tbEquipe[[#This Row],[Alocação]]</f>
        <v>0</v>
      </c>
      <c r="F1032" s="34"/>
      <c r="G10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2" s="1"/>
    </row>
    <row r="1033" spans="2:8" hidden="1" x14ac:dyDescent="0.25">
      <c r="B1033" s="25" t="str">
        <f>IFERROR(VLOOKUP(tbEquipe[[#This Row],[Nome]],tbFOPAG[[Nome]:[Cargo]],2,0),"&lt;Selecionar Nome&gt;")</f>
        <v>&lt;Selecionar Nome&gt;</v>
      </c>
      <c r="E1033">
        <f>176*tbEquipe[[#This Row],[Alocação]]</f>
        <v>0</v>
      </c>
      <c r="F1033" s="34"/>
      <c r="G10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3" s="1"/>
    </row>
    <row r="1034" spans="2:8" hidden="1" x14ac:dyDescent="0.25">
      <c r="B1034" s="25" t="str">
        <f>IFERROR(VLOOKUP(tbEquipe[[#This Row],[Nome]],tbFOPAG[[Nome]:[Cargo]],2,0),"&lt;Selecionar Nome&gt;")</f>
        <v>&lt;Selecionar Nome&gt;</v>
      </c>
      <c r="E1034">
        <f>176*tbEquipe[[#This Row],[Alocação]]</f>
        <v>0</v>
      </c>
      <c r="F1034" s="34"/>
      <c r="G10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4" s="1"/>
    </row>
    <row r="1035" spans="2:8" hidden="1" x14ac:dyDescent="0.25">
      <c r="B1035" s="25" t="str">
        <f>IFERROR(VLOOKUP(tbEquipe[[#This Row],[Nome]],tbFOPAG[[Nome]:[Cargo]],2,0),"&lt;Selecionar Nome&gt;")</f>
        <v>&lt;Selecionar Nome&gt;</v>
      </c>
      <c r="E1035">
        <f>176*tbEquipe[[#This Row],[Alocação]]</f>
        <v>0</v>
      </c>
      <c r="F1035" s="34"/>
      <c r="G10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5" s="1"/>
    </row>
    <row r="1036" spans="2:8" hidden="1" x14ac:dyDescent="0.25">
      <c r="B1036" s="25" t="str">
        <f>IFERROR(VLOOKUP(tbEquipe[[#This Row],[Nome]],tbFOPAG[[Nome]:[Cargo]],2,0),"&lt;Selecionar Nome&gt;")</f>
        <v>&lt;Selecionar Nome&gt;</v>
      </c>
      <c r="E1036">
        <f>176*tbEquipe[[#This Row],[Alocação]]</f>
        <v>0</v>
      </c>
      <c r="F1036" s="34"/>
      <c r="G10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6" s="1"/>
    </row>
    <row r="1037" spans="2:8" hidden="1" x14ac:dyDescent="0.25">
      <c r="B1037" s="25" t="str">
        <f>IFERROR(VLOOKUP(tbEquipe[[#This Row],[Nome]],tbFOPAG[[Nome]:[Cargo]],2,0),"&lt;Selecionar Nome&gt;")</f>
        <v>&lt;Selecionar Nome&gt;</v>
      </c>
      <c r="E1037">
        <f>176*tbEquipe[[#This Row],[Alocação]]</f>
        <v>0</v>
      </c>
      <c r="F1037" s="34"/>
      <c r="G10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7" s="1"/>
    </row>
    <row r="1038" spans="2:8" hidden="1" x14ac:dyDescent="0.25">
      <c r="B1038" s="25" t="str">
        <f>IFERROR(VLOOKUP(tbEquipe[[#This Row],[Nome]],tbFOPAG[[Nome]:[Cargo]],2,0),"&lt;Selecionar Nome&gt;")</f>
        <v>&lt;Selecionar Nome&gt;</v>
      </c>
      <c r="E1038">
        <f>176*tbEquipe[[#This Row],[Alocação]]</f>
        <v>0</v>
      </c>
      <c r="F1038" s="34"/>
      <c r="G10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8" s="1"/>
    </row>
    <row r="1039" spans="2:8" hidden="1" x14ac:dyDescent="0.25">
      <c r="B1039" s="25" t="str">
        <f>IFERROR(VLOOKUP(tbEquipe[[#This Row],[Nome]],tbFOPAG[[Nome]:[Cargo]],2,0),"&lt;Selecionar Nome&gt;")</f>
        <v>&lt;Selecionar Nome&gt;</v>
      </c>
      <c r="E1039">
        <f>176*tbEquipe[[#This Row],[Alocação]]</f>
        <v>0</v>
      </c>
      <c r="F1039" s="34"/>
      <c r="G10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39" s="1"/>
    </row>
    <row r="1040" spans="2:8" hidden="1" x14ac:dyDescent="0.25">
      <c r="B1040" s="25" t="str">
        <f>IFERROR(VLOOKUP(tbEquipe[[#This Row],[Nome]],tbFOPAG[[Nome]:[Cargo]],2,0),"&lt;Selecionar Nome&gt;")</f>
        <v>&lt;Selecionar Nome&gt;</v>
      </c>
      <c r="E1040">
        <f>176*tbEquipe[[#This Row],[Alocação]]</f>
        <v>0</v>
      </c>
      <c r="F1040" s="34"/>
      <c r="G10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0" s="1"/>
    </row>
    <row r="1041" spans="2:8" hidden="1" x14ac:dyDescent="0.25">
      <c r="B1041" s="25" t="str">
        <f>IFERROR(VLOOKUP(tbEquipe[[#This Row],[Nome]],tbFOPAG[[Nome]:[Cargo]],2,0),"&lt;Selecionar Nome&gt;")</f>
        <v>&lt;Selecionar Nome&gt;</v>
      </c>
      <c r="E1041">
        <f>176*tbEquipe[[#This Row],[Alocação]]</f>
        <v>0</v>
      </c>
      <c r="F1041" s="34"/>
      <c r="G10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1" s="1"/>
    </row>
    <row r="1042" spans="2:8" hidden="1" x14ac:dyDescent="0.25">
      <c r="B1042" s="25" t="str">
        <f>IFERROR(VLOOKUP(tbEquipe[[#This Row],[Nome]],tbFOPAG[[Nome]:[Cargo]],2,0),"&lt;Selecionar Nome&gt;")</f>
        <v>&lt;Selecionar Nome&gt;</v>
      </c>
      <c r="E1042">
        <f>176*tbEquipe[[#This Row],[Alocação]]</f>
        <v>0</v>
      </c>
      <c r="F1042" s="34"/>
      <c r="G10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2" s="1"/>
    </row>
    <row r="1043" spans="2:8" hidden="1" x14ac:dyDescent="0.25">
      <c r="B1043" s="25" t="str">
        <f>IFERROR(VLOOKUP(tbEquipe[[#This Row],[Nome]],tbFOPAG[[Nome]:[Cargo]],2,0),"&lt;Selecionar Nome&gt;")</f>
        <v>&lt;Selecionar Nome&gt;</v>
      </c>
      <c r="E1043">
        <f>176*tbEquipe[[#This Row],[Alocação]]</f>
        <v>0</v>
      </c>
      <c r="F1043" s="34"/>
      <c r="G10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3" s="1"/>
    </row>
    <row r="1044" spans="2:8" hidden="1" x14ac:dyDescent="0.25">
      <c r="B1044" s="25" t="str">
        <f>IFERROR(VLOOKUP(tbEquipe[[#This Row],[Nome]],tbFOPAG[[Nome]:[Cargo]],2,0),"&lt;Selecionar Nome&gt;")</f>
        <v>&lt;Selecionar Nome&gt;</v>
      </c>
      <c r="E1044">
        <f>176*tbEquipe[[#This Row],[Alocação]]</f>
        <v>0</v>
      </c>
      <c r="F1044" s="34"/>
      <c r="G10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4" s="1"/>
    </row>
    <row r="1045" spans="2:8" hidden="1" x14ac:dyDescent="0.25">
      <c r="B1045" s="25" t="str">
        <f>IFERROR(VLOOKUP(tbEquipe[[#This Row],[Nome]],tbFOPAG[[Nome]:[Cargo]],2,0),"&lt;Selecionar Nome&gt;")</f>
        <v>&lt;Selecionar Nome&gt;</v>
      </c>
      <c r="E1045">
        <f>176*tbEquipe[[#This Row],[Alocação]]</f>
        <v>0</v>
      </c>
      <c r="F1045" s="34"/>
      <c r="G10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5" s="1"/>
    </row>
    <row r="1046" spans="2:8" hidden="1" x14ac:dyDescent="0.25">
      <c r="B1046" s="25" t="str">
        <f>IFERROR(VLOOKUP(tbEquipe[[#This Row],[Nome]],tbFOPAG[[Nome]:[Cargo]],2,0),"&lt;Selecionar Nome&gt;")</f>
        <v>&lt;Selecionar Nome&gt;</v>
      </c>
      <c r="E1046">
        <f>176*tbEquipe[[#This Row],[Alocação]]</f>
        <v>0</v>
      </c>
      <c r="F1046" s="34"/>
      <c r="G10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6" s="1"/>
    </row>
    <row r="1047" spans="2:8" hidden="1" x14ac:dyDescent="0.25">
      <c r="B1047" s="25" t="str">
        <f>IFERROR(VLOOKUP(tbEquipe[[#This Row],[Nome]],tbFOPAG[[Nome]:[Cargo]],2,0),"&lt;Selecionar Nome&gt;")</f>
        <v>&lt;Selecionar Nome&gt;</v>
      </c>
      <c r="E1047">
        <f>176*tbEquipe[[#This Row],[Alocação]]</f>
        <v>0</v>
      </c>
      <c r="F1047" s="34"/>
      <c r="G10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7" s="1"/>
    </row>
    <row r="1048" spans="2:8" hidden="1" x14ac:dyDescent="0.25">
      <c r="B1048" s="25" t="str">
        <f>IFERROR(VLOOKUP(tbEquipe[[#This Row],[Nome]],tbFOPAG[[Nome]:[Cargo]],2,0),"&lt;Selecionar Nome&gt;")</f>
        <v>&lt;Selecionar Nome&gt;</v>
      </c>
      <c r="E1048">
        <f>176*tbEquipe[[#This Row],[Alocação]]</f>
        <v>0</v>
      </c>
      <c r="F1048" s="34"/>
      <c r="G10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8" s="1"/>
    </row>
    <row r="1049" spans="2:8" hidden="1" x14ac:dyDescent="0.25">
      <c r="B1049" s="25" t="str">
        <f>IFERROR(VLOOKUP(tbEquipe[[#This Row],[Nome]],tbFOPAG[[Nome]:[Cargo]],2,0),"&lt;Selecionar Nome&gt;")</f>
        <v>&lt;Selecionar Nome&gt;</v>
      </c>
      <c r="E1049">
        <f>176*tbEquipe[[#This Row],[Alocação]]</f>
        <v>0</v>
      </c>
      <c r="F1049" s="34"/>
      <c r="G10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49" s="1"/>
    </row>
    <row r="1050" spans="2:8" hidden="1" x14ac:dyDescent="0.25">
      <c r="B1050" s="25" t="str">
        <f>IFERROR(VLOOKUP(tbEquipe[[#This Row],[Nome]],tbFOPAG[[Nome]:[Cargo]],2,0),"&lt;Selecionar Nome&gt;")</f>
        <v>&lt;Selecionar Nome&gt;</v>
      </c>
      <c r="E1050">
        <f>176*tbEquipe[[#This Row],[Alocação]]</f>
        <v>0</v>
      </c>
      <c r="F1050" s="34"/>
      <c r="G10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0" s="1"/>
    </row>
    <row r="1051" spans="2:8" hidden="1" x14ac:dyDescent="0.25">
      <c r="B1051" s="25" t="str">
        <f>IFERROR(VLOOKUP(tbEquipe[[#This Row],[Nome]],tbFOPAG[[Nome]:[Cargo]],2,0),"&lt;Selecionar Nome&gt;")</f>
        <v>&lt;Selecionar Nome&gt;</v>
      </c>
      <c r="E1051">
        <f>176*tbEquipe[[#This Row],[Alocação]]</f>
        <v>0</v>
      </c>
      <c r="F1051" s="34"/>
      <c r="G10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1" s="1"/>
    </row>
    <row r="1052" spans="2:8" hidden="1" x14ac:dyDescent="0.25">
      <c r="B1052" s="25" t="str">
        <f>IFERROR(VLOOKUP(tbEquipe[[#This Row],[Nome]],tbFOPAG[[Nome]:[Cargo]],2,0),"&lt;Selecionar Nome&gt;")</f>
        <v>&lt;Selecionar Nome&gt;</v>
      </c>
      <c r="E1052">
        <f>176*tbEquipe[[#This Row],[Alocação]]</f>
        <v>0</v>
      </c>
      <c r="F1052" s="34"/>
      <c r="G10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2" s="1"/>
    </row>
    <row r="1053" spans="2:8" hidden="1" x14ac:dyDescent="0.25">
      <c r="B1053" s="25" t="str">
        <f>IFERROR(VLOOKUP(tbEquipe[[#This Row],[Nome]],tbFOPAG[[Nome]:[Cargo]],2,0),"&lt;Selecionar Nome&gt;")</f>
        <v>&lt;Selecionar Nome&gt;</v>
      </c>
      <c r="E1053">
        <f>176*tbEquipe[[#This Row],[Alocação]]</f>
        <v>0</v>
      </c>
      <c r="F1053" s="34"/>
      <c r="G10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3" s="1"/>
    </row>
    <row r="1054" spans="2:8" hidden="1" x14ac:dyDescent="0.25">
      <c r="B1054" s="25" t="str">
        <f>IFERROR(VLOOKUP(tbEquipe[[#This Row],[Nome]],tbFOPAG[[Nome]:[Cargo]],2,0),"&lt;Selecionar Nome&gt;")</f>
        <v>&lt;Selecionar Nome&gt;</v>
      </c>
      <c r="E1054">
        <f>176*tbEquipe[[#This Row],[Alocação]]</f>
        <v>0</v>
      </c>
      <c r="F1054" s="34"/>
      <c r="G10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4" s="1"/>
    </row>
    <row r="1055" spans="2:8" hidden="1" x14ac:dyDescent="0.25">
      <c r="B1055" s="25" t="str">
        <f>IFERROR(VLOOKUP(tbEquipe[[#This Row],[Nome]],tbFOPAG[[Nome]:[Cargo]],2,0),"&lt;Selecionar Nome&gt;")</f>
        <v>&lt;Selecionar Nome&gt;</v>
      </c>
      <c r="E1055">
        <f>176*tbEquipe[[#This Row],[Alocação]]</f>
        <v>0</v>
      </c>
      <c r="F1055" s="34"/>
      <c r="G10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5" s="1"/>
    </row>
    <row r="1056" spans="2:8" hidden="1" x14ac:dyDescent="0.25">
      <c r="B1056" s="25" t="str">
        <f>IFERROR(VLOOKUP(tbEquipe[[#This Row],[Nome]],tbFOPAG[[Nome]:[Cargo]],2,0),"&lt;Selecionar Nome&gt;")</f>
        <v>&lt;Selecionar Nome&gt;</v>
      </c>
      <c r="E1056">
        <f>176*tbEquipe[[#This Row],[Alocação]]</f>
        <v>0</v>
      </c>
      <c r="F1056" s="34"/>
      <c r="G10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6" s="1"/>
    </row>
    <row r="1057" spans="2:8" hidden="1" x14ac:dyDescent="0.25">
      <c r="B1057" s="25" t="str">
        <f>IFERROR(VLOOKUP(tbEquipe[[#This Row],[Nome]],tbFOPAG[[Nome]:[Cargo]],2,0),"&lt;Selecionar Nome&gt;")</f>
        <v>&lt;Selecionar Nome&gt;</v>
      </c>
      <c r="E1057">
        <f>176*tbEquipe[[#This Row],[Alocação]]</f>
        <v>0</v>
      </c>
      <c r="F1057" s="34"/>
      <c r="G10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7" s="1"/>
    </row>
    <row r="1058" spans="2:8" hidden="1" x14ac:dyDescent="0.25">
      <c r="B1058" s="25" t="str">
        <f>IFERROR(VLOOKUP(tbEquipe[[#This Row],[Nome]],tbFOPAG[[Nome]:[Cargo]],2,0),"&lt;Selecionar Nome&gt;")</f>
        <v>&lt;Selecionar Nome&gt;</v>
      </c>
      <c r="E1058">
        <f>176*tbEquipe[[#This Row],[Alocação]]</f>
        <v>0</v>
      </c>
      <c r="F1058" s="34"/>
      <c r="G10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8" s="1"/>
    </row>
    <row r="1059" spans="2:8" hidden="1" x14ac:dyDescent="0.25">
      <c r="B1059" s="25" t="str">
        <f>IFERROR(VLOOKUP(tbEquipe[[#This Row],[Nome]],tbFOPAG[[Nome]:[Cargo]],2,0),"&lt;Selecionar Nome&gt;")</f>
        <v>&lt;Selecionar Nome&gt;</v>
      </c>
      <c r="E1059">
        <f>176*tbEquipe[[#This Row],[Alocação]]</f>
        <v>0</v>
      </c>
      <c r="F1059" s="34"/>
      <c r="G10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59" s="1"/>
    </row>
    <row r="1060" spans="2:8" hidden="1" x14ac:dyDescent="0.25">
      <c r="B1060" s="25" t="str">
        <f>IFERROR(VLOOKUP(tbEquipe[[#This Row],[Nome]],tbFOPAG[[Nome]:[Cargo]],2,0),"&lt;Selecionar Nome&gt;")</f>
        <v>&lt;Selecionar Nome&gt;</v>
      </c>
      <c r="E1060">
        <f>176*tbEquipe[[#This Row],[Alocação]]</f>
        <v>0</v>
      </c>
      <c r="F1060" s="34"/>
      <c r="G10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0" s="1"/>
    </row>
    <row r="1061" spans="2:8" hidden="1" x14ac:dyDescent="0.25">
      <c r="B1061" s="25" t="str">
        <f>IFERROR(VLOOKUP(tbEquipe[[#This Row],[Nome]],tbFOPAG[[Nome]:[Cargo]],2,0),"&lt;Selecionar Nome&gt;")</f>
        <v>&lt;Selecionar Nome&gt;</v>
      </c>
      <c r="E1061">
        <f>176*tbEquipe[[#This Row],[Alocação]]</f>
        <v>0</v>
      </c>
      <c r="F1061" s="34"/>
      <c r="G10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1" s="1"/>
    </row>
    <row r="1062" spans="2:8" hidden="1" x14ac:dyDescent="0.25">
      <c r="B1062" s="25" t="str">
        <f>IFERROR(VLOOKUP(tbEquipe[[#This Row],[Nome]],tbFOPAG[[Nome]:[Cargo]],2,0),"&lt;Selecionar Nome&gt;")</f>
        <v>&lt;Selecionar Nome&gt;</v>
      </c>
      <c r="E1062">
        <f>176*tbEquipe[[#This Row],[Alocação]]</f>
        <v>0</v>
      </c>
      <c r="F1062" s="34"/>
      <c r="G10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2" s="1"/>
    </row>
    <row r="1063" spans="2:8" hidden="1" x14ac:dyDescent="0.25">
      <c r="B1063" s="25" t="str">
        <f>IFERROR(VLOOKUP(tbEquipe[[#This Row],[Nome]],tbFOPAG[[Nome]:[Cargo]],2,0),"&lt;Selecionar Nome&gt;")</f>
        <v>&lt;Selecionar Nome&gt;</v>
      </c>
      <c r="E1063">
        <f>176*tbEquipe[[#This Row],[Alocação]]</f>
        <v>0</v>
      </c>
      <c r="F1063" s="34"/>
      <c r="G10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3" s="1"/>
    </row>
    <row r="1064" spans="2:8" hidden="1" x14ac:dyDescent="0.25">
      <c r="B1064" s="25" t="str">
        <f>IFERROR(VLOOKUP(tbEquipe[[#This Row],[Nome]],tbFOPAG[[Nome]:[Cargo]],2,0),"&lt;Selecionar Nome&gt;")</f>
        <v>&lt;Selecionar Nome&gt;</v>
      </c>
      <c r="E1064">
        <f>176*tbEquipe[[#This Row],[Alocação]]</f>
        <v>0</v>
      </c>
      <c r="F1064" s="34"/>
      <c r="G10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4" s="1"/>
    </row>
    <row r="1065" spans="2:8" hidden="1" x14ac:dyDescent="0.25">
      <c r="B1065" s="25" t="str">
        <f>IFERROR(VLOOKUP(tbEquipe[[#This Row],[Nome]],tbFOPAG[[Nome]:[Cargo]],2,0),"&lt;Selecionar Nome&gt;")</f>
        <v>&lt;Selecionar Nome&gt;</v>
      </c>
      <c r="E1065">
        <f>176*tbEquipe[[#This Row],[Alocação]]</f>
        <v>0</v>
      </c>
      <c r="F1065" s="34"/>
      <c r="G10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5" s="1"/>
    </row>
    <row r="1066" spans="2:8" hidden="1" x14ac:dyDescent="0.25">
      <c r="B1066" s="25" t="str">
        <f>IFERROR(VLOOKUP(tbEquipe[[#This Row],[Nome]],tbFOPAG[[Nome]:[Cargo]],2,0),"&lt;Selecionar Nome&gt;")</f>
        <v>&lt;Selecionar Nome&gt;</v>
      </c>
      <c r="E1066">
        <f>176*tbEquipe[[#This Row],[Alocação]]</f>
        <v>0</v>
      </c>
      <c r="F1066" s="34"/>
      <c r="G10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6" s="1"/>
    </row>
    <row r="1067" spans="2:8" hidden="1" x14ac:dyDescent="0.25">
      <c r="B1067" s="25" t="str">
        <f>IFERROR(VLOOKUP(tbEquipe[[#This Row],[Nome]],tbFOPAG[[Nome]:[Cargo]],2,0),"&lt;Selecionar Nome&gt;")</f>
        <v>&lt;Selecionar Nome&gt;</v>
      </c>
      <c r="E1067">
        <f>176*tbEquipe[[#This Row],[Alocação]]</f>
        <v>0</v>
      </c>
      <c r="F1067" s="34"/>
      <c r="G10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7" s="1"/>
    </row>
    <row r="1068" spans="2:8" hidden="1" x14ac:dyDescent="0.25">
      <c r="B1068" s="25" t="str">
        <f>IFERROR(VLOOKUP(tbEquipe[[#This Row],[Nome]],tbFOPAG[[Nome]:[Cargo]],2,0),"&lt;Selecionar Nome&gt;")</f>
        <v>&lt;Selecionar Nome&gt;</v>
      </c>
      <c r="E1068">
        <f>176*tbEquipe[[#This Row],[Alocação]]</f>
        <v>0</v>
      </c>
      <c r="F1068" s="34"/>
      <c r="G10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8" s="1"/>
    </row>
    <row r="1069" spans="2:8" hidden="1" x14ac:dyDescent="0.25">
      <c r="B1069" s="25" t="str">
        <f>IFERROR(VLOOKUP(tbEquipe[[#This Row],[Nome]],tbFOPAG[[Nome]:[Cargo]],2,0),"&lt;Selecionar Nome&gt;")</f>
        <v>&lt;Selecionar Nome&gt;</v>
      </c>
      <c r="E1069">
        <f>176*tbEquipe[[#This Row],[Alocação]]</f>
        <v>0</v>
      </c>
      <c r="F1069" s="34"/>
      <c r="G10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69" s="1"/>
    </row>
    <row r="1070" spans="2:8" hidden="1" x14ac:dyDescent="0.25">
      <c r="B1070" s="25" t="str">
        <f>IFERROR(VLOOKUP(tbEquipe[[#This Row],[Nome]],tbFOPAG[[Nome]:[Cargo]],2,0),"&lt;Selecionar Nome&gt;")</f>
        <v>&lt;Selecionar Nome&gt;</v>
      </c>
      <c r="E1070">
        <f>176*tbEquipe[[#This Row],[Alocação]]</f>
        <v>0</v>
      </c>
      <c r="F1070" s="34"/>
      <c r="G10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0" s="1"/>
    </row>
    <row r="1071" spans="2:8" hidden="1" x14ac:dyDescent="0.25">
      <c r="B1071" s="25" t="str">
        <f>IFERROR(VLOOKUP(tbEquipe[[#This Row],[Nome]],tbFOPAG[[Nome]:[Cargo]],2,0),"&lt;Selecionar Nome&gt;")</f>
        <v>&lt;Selecionar Nome&gt;</v>
      </c>
      <c r="E1071">
        <f>176*tbEquipe[[#This Row],[Alocação]]</f>
        <v>0</v>
      </c>
      <c r="F1071" s="34"/>
      <c r="G10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1" s="1"/>
    </row>
    <row r="1072" spans="2:8" hidden="1" x14ac:dyDescent="0.25">
      <c r="B1072" s="25" t="str">
        <f>IFERROR(VLOOKUP(tbEquipe[[#This Row],[Nome]],tbFOPAG[[Nome]:[Cargo]],2,0),"&lt;Selecionar Nome&gt;")</f>
        <v>&lt;Selecionar Nome&gt;</v>
      </c>
      <c r="E1072">
        <f>176*tbEquipe[[#This Row],[Alocação]]</f>
        <v>0</v>
      </c>
      <c r="F1072" s="34"/>
      <c r="G10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2" s="1"/>
    </row>
    <row r="1073" spans="2:8" hidden="1" x14ac:dyDescent="0.25">
      <c r="B1073" s="25" t="str">
        <f>IFERROR(VLOOKUP(tbEquipe[[#This Row],[Nome]],tbFOPAG[[Nome]:[Cargo]],2,0),"&lt;Selecionar Nome&gt;")</f>
        <v>&lt;Selecionar Nome&gt;</v>
      </c>
      <c r="E1073">
        <f>176*tbEquipe[[#This Row],[Alocação]]</f>
        <v>0</v>
      </c>
      <c r="F1073" s="34"/>
      <c r="G10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3" s="1"/>
    </row>
    <row r="1074" spans="2:8" hidden="1" x14ac:dyDescent="0.25">
      <c r="B1074" s="25" t="str">
        <f>IFERROR(VLOOKUP(tbEquipe[[#This Row],[Nome]],tbFOPAG[[Nome]:[Cargo]],2,0),"&lt;Selecionar Nome&gt;")</f>
        <v>&lt;Selecionar Nome&gt;</v>
      </c>
      <c r="E1074">
        <f>176*tbEquipe[[#This Row],[Alocação]]</f>
        <v>0</v>
      </c>
      <c r="F1074" s="34"/>
      <c r="G10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4" s="1"/>
    </row>
    <row r="1075" spans="2:8" hidden="1" x14ac:dyDescent="0.25">
      <c r="B1075" s="25" t="str">
        <f>IFERROR(VLOOKUP(tbEquipe[[#This Row],[Nome]],tbFOPAG[[Nome]:[Cargo]],2,0),"&lt;Selecionar Nome&gt;")</f>
        <v>&lt;Selecionar Nome&gt;</v>
      </c>
      <c r="E1075">
        <f>176*tbEquipe[[#This Row],[Alocação]]</f>
        <v>0</v>
      </c>
      <c r="F1075" s="34"/>
      <c r="G10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5" s="1"/>
    </row>
    <row r="1076" spans="2:8" hidden="1" x14ac:dyDescent="0.25">
      <c r="B1076" s="25" t="str">
        <f>IFERROR(VLOOKUP(tbEquipe[[#This Row],[Nome]],tbFOPAG[[Nome]:[Cargo]],2,0),"&lt;Selecionar Nome&gt;")</f>
        <v>&lt;Selecionar Nome&gt;</v>
      </c>
      <c r="E1076">
        <f>176*tbEquipe[[#This Row],[Alocação]]</f>
        <v>0</v>
      </c>
      <c r="F1076" s="34"/>
      <c r="G10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6" s="1"/>
    </row>
    <row r="1077" spans="2:8" hidden="1" x14ac:dyDescent="0.25">
      <c r="B1077" s="25" t="str">
        <f>IFERROR(VLOOKUP(tbEquipe[[#This Row],[Nome]],tbFOPAG[[Nome]:[Cargo]],2,0),"&lt;Selecionar Nome&gt;")</f>
        <v>&lt;Selecionar Nome&gt;</v>
      </c>
      <c r="E1077">
        <f>176*tbEquipe[[#This Row],[Alocação]]</f>
        <v>0</v>
      </c>
      <c r="F1077" s="34"/>
      <c r="G10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7" s="1"/>
    </row>
    <row r="1078" spans="2:8" hidden="1" x14ac:dyDescent="0.25">
      <c r="B1078" s="25" t="str">
        <f>IFERROR(VLOOKUP(tbEquipe[[#This Row],[Nome]],tbFOPAG[[Nome]:[Cargo]],2,0),"&lt;Selecionar Nome&gt;")</f>
        <v>&lt;Selecionar Nome&gt;</v>
      </c>
      <c r="E1078">
        <f>176*tbEquipe[[#This Row],[Alocação]]</f>
        <v>0</v>
      </c>
      <c r="F1078" s="34"/>
      <c r="G10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8" s="1"/>
    </row>
    <row r="1079" spans="2:8" hidden="1" x14ac:dyDescent="0.25">
      <c r="B1079" s="25" t="str">
        <f>IFERROR(VLOOKUP(tbEquipe[[#This Row],[Nome]],tbFOPAG[[Nome]:[Cargo]],2,0),"&lt;Selecionar Nome&gt;")</f>
        <v>&lt;Selecionar Nome&gt;</v>
      </c>
      <c r="E1079">
        <f>176*tbEquipe[[#This Row],[Alocação]]</f>
        <v>0</v>
      </c>
      <c r="F1079" s="34"/>
      <c r="G10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79" s="1"/>
    </row>
    <row r="1080" spans="2:8" hidden="1" x14ac:dyDescent="0.25">
      <c r="B1080" s="25" t="str">
        <f>IFERROR(VLOOKUP(tbEquipe[[#This Row],[Nome]],tbFOPAG[[Nome]:[Cargo]],2,0),"&lt;Selecionar Nome&gt;")</f>
        <v>&lt;Selecionar Nome&gt;</v>
      </c>
      <c r="E1080">
        <f>176*tbEquipe[[#This Row],[Alocação]]</f>
        <v>0</v>
      </c>
      <c r="F1080" s="34"/>
      <c r="G10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0" s="1"/>
    </row>
    <row r="1081" spans="2:8" hidden="1" x14ac:dyDescent="0.25">
      <c r="B1081" s="25" t="str">
        <f>IFERROR(VLOOKUP(tbEquipe[[#This Row],[Nome]],tbFOPAG[[Nome]:[Cargo]],2,0),"&lt;Selecionar Nome&gt;")</f>
        <v>&lt;Selecionar Nome&gt;</v>
      </c>
      <c r="E1081">
        <f>176*tbEquipe[[#This Row],[Alocação]]</f>
        <v>0</v>
      </c>
      <c r="F1081" s="34"/>
      <c r="G10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1" s="1"/>
    </row>
    <row r="1082" spans="2:8" hidden="1" x14ac:dyDescent="0.25">
      <c r="B1082" s="25" t="str">
        <f>IFERROR(VLOOKUP(tbEquipe[[#This Row],[Nome]],tbFOPAG[[Nome]:[Cargo]],2,0),"&lt;Selecionar Nome&gt;")</f>
        <v>&lt;Selecionar Nome&gt;</v>
      </c>
      <c r="E1082">
        <f>176*tbEquipe[[#This Row],[Alocação]]</f>
        <v>0</v>
      </c>
      <c r="F1082" s="34"/>
      <c r="G10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2" s="1"/>
    </row>
    <row r="1083" spans="2:8" hidden="1" x14ac:dyDescent="0.25">
      <c r="B1083" s="25" t="str">
        <f>IFERROR(VLOOKUP(tbEquipe[[#This Row],[Nome]],tbFOPAG[[Nome]:[Cargo]],2,0),"&lt;Selecionar Nome&gt;")</f>
        <v>&lt;Selecionar Nome&gt;</v>
      </c>
      <c r="E1083">
        <f>176*tbEquipe[[#This Row],[Alocação]]</f>
        <v>0</v>
      </c>
      <c r="F1083" s="34"/>
      <c r="G10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3" s="1"/>
    </row>
    <row r="1084" spans="2:8" hidden="1" x14ac:dyDescent="0.25">
      <c r="B1084" s="25" t="str">
        <f>IFERROR(VLOOKUP(tbEquipe[[#This Row],[Nome]],tbFOPAG[[Nome]:[Cargo]],2,0),"&lt;Selecionar Nome&gt;")</f>
        <v>&lt;Selecionar Nome&gt;</v>
      </c>
      <c r="E1084">
        <f>176*tbEquipe[[#This Row],[Alocação]]</f>
        <v>0</v>
      </c>
      <c r="F1084" s="34"/>
      <c r="G10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4" s="1"/>
    </row>
    <row r="1085" spans="2:8" hidden="1" x14ac:dyDescent="0.25">
      <c r="B1085" s="25" t="str">
        <f>IFERROR(VLOOKUP(tbEquipe[[#This Row],[Nome]],tbFOPAG[[Nome]:[Cargo]],2,0),"&lt;Selecionar Nome&gt;")</f>
        <v>&lt;Selecionar Nome&gt;</v>
      </c>
      <c r="E1085">
        <f>176*tbEquipe[[#This Row],[Alocação]]</f>
        <v>0</v>
      </c>
      <c r="F1085" s="34"/>
      <c r="G10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5" s="1"/>
    </row>
    <row r="1086" spans="2:8" hidden="1" x14ac:dyDescent="0.25">
      <c r="B1086" s="25" t="str">
        <f>IFERROR(VLOOKUP(tbEquipe[[#This Row],[Nome]],tbFOPAG[[Nome]:[Cargo]],2,0),"&lt;Selecionar Nome&gt;")</f>
        <v>&lt;Selecionar Nome&gt;</v>
      </c>
      <c r="E1086">
        <f>176*tbEquipe[[#This Row],[Alocação]]</f>
        <v>0</v>
      </c>
      <c r="F1086" s="34"/>
      <c r="G10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6" s="1"/>
    </row>
    <row r="1087" spans="2:8" hidden="1" x14ac:dyDescent="0.25">
      <c r="B1087" s="25" t="str">
        <f>IFERROR(VLOOKUP(tbEquipe[[#This Row],[Nome]],tbFOPAG[[Nome]:[Cargo]],2,0),"&lt;Selecionar Nome&gt;")</f>
        <v>&lt;Selecionar Nome&gt;</v>
      </c>
      <c r="E1087">
        <f>176*tbEquipe[[#This Row],[Alocação]]</f>
        <v>0</v>
      </c>
      <c r="F1087" s="34"/>
      <c r="G10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7" s="1"/>
    </row>
    <row r="1088" spans="2:8" hidden="1" x14ac:dyDescent="0.25">
      <c r="B1088" s="25" t="str">
        <f>IFERROR(VLOOKUP(tbEquipe[[#This Row],[Nome]],tbFOPAG[[Nome]:[Cargo]],2,0),"&lt;Selecionar Nome&gt;")</f>
        <v>&lt;Selecionar Nome&gt;</v>
      </c>
      <c r="E1088">
        <f>176*tbEquipe[[#This Row],[Alocação]]</f>
        <v>0</v>
      </c>
      <c r="F1088" s="34"/>
      <c r="G10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8" s="1"/>
    </row>
    <row r="1089" spans="2:8" hidden="1" x14ac:dyDescent="0.25">
      <c r="B1089" s="25" t="str">
        <f>IFERROR(VLOOKUP(tbEquipe[[#This Row],[Nome]],tbFOPAG[[Nome]:[Cargo]],2,0),"&lt;Selecionar Nome&gt;")</f>
        <v>&lt;Selecionar Nome&gt;</v>
      </c>
      <c r="E1089">
        <f>176*tbEquipe[[#This Row],[Alocação]]</f>
        <v>0</v>
      </c>
      <c r="F1089" s="34"/>
      <c r="G10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89" s="1"/>
    </row>
    <row r="1090" spans="2:8" hidden="1" x14ac:dyDescent="0.25">
      <c r="B1090" s="25" t="str">
        <f>IFERROR(VLOOKUP(tbEquipe[[#This Row],[Nome]],tbFOPAG[[Nome]:[Cargo]],2,0),"&lt;Selecionar Nome&gt;")</f>
        <v>&lt;Selecionar Nome&gt;</v>
      </c>
      <c r="E1090">
        <f>176*tbEquipe[[#This Row],[Alocação]]</f>
        <v>0</v>
      </c>
      <c r="F1090" s="34"/>
      <c r="G10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0" s="1"/>
    </row>
    <row r="1091" spans="2:8" hidden="1" x14ac:dyDescent="0.25">
      <c r="B1091" s="25" t="str">
        <f>IFERROR(VLOOKUP(tbEquipe[[#This Row],[Nome]],tbFOPAG[[Nome]:[Cargo]],2,0),"&lt;Selecionar Nome&gt;")</f>
        <v>&lt;Selecionar Nome&gt;</v>
      </c>
      <c r="E1091">
        <f>176*tbEquipe[[#This Row],[Alocação]]</f>
        <v>0</v>
      </c>
      <c r="F1091" s="34"/>
      <c r="G10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1" s="1"/>
    </row>
    <row r="1092" spans="2:8" hidden="1" x14ac:dyDescent="0.25">
      <c r="B1092" s="25" t="str">
        <f>IFERROR(VLOOKUP(tbEquipe[[#This Row],[Nome]],tbFOPAG[[Nome]:[Cargo]],2,0),"&lt;Selecionar Nome&gt;")</f>
        <v>&lt;Selecionar Nome&gt;</v>
      </c>
      <c r="E1092">
        <f>176*tbEquipe[[#This Row],[Alocação]]</f>
        <v>0</v>
      </c>
      <c r="F1092" s="34"/>
      <c r="G10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2" s="1"/>
    </row>
    <row r="1093" spans="2:8" hidden="1" x14ac:dyDescent="0.25">
      <c r="B1093" s="25" t="str">
        <f>IFERROR(VLOOKUP(tbEquipe[[#This Row],[Nome]],tbFOPAG[[Nome]:[Cargo]],2,0),"&lt;Selecionar Nome&gt;")</f>
        <v>&lt;Selecionar Nome&gt;</v>
      </c>
      <c r="E1093">
        <f>176*tbEquipe[[#This Row],[Alocação]]</f>
        <v>0</v>
      </c>
      <c r="F1093" s="34"/>
      <c r="G10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3" s="1"/>
    </row>
    <row r="1094" spans="2:8" hidden="1" x14ac:dyDescent="0.25">
      <c r="B1094" s="25" t="str">
        <f>IFERROR(VLOOKUP(tbEquipe[[#This Row],[Nome]],tbFOPAG[[Nome]:[Cargo]],2,0),"&lt;Selecionar Nome&gt;")</f>
        <v>&lt;Selecionar Nome&gt;</v>
      </c>
      <c r="E1094">
        <f>176*tbEquipe[[#This Row],[Alocação]]</f>
        <v>0</v>
      </c>
      <c r="F1094" s="34"/>
      <c r="G10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4" s="1"/>
    </row>
    <row r="1095" spans="2:8" hidden="1" x14ac:dyDescent="0.25">
      <c r="B1095" s="25" t="str">
        <f>IFERROR(VLOOKUP(tbEquipe[[#This Row],[Nome]],tbFOPAG[[Nome]:[Cargo]],2,0),"&lt;Selecionar Nome&gt;")</f>
        <v>&lt;Selecionar Nome&gt;</v>
      </c>
      <c r="E1095">
        <f>176*tbEquipe[[#This Row],[Alocação]]</f>
        <v>0</v>
      </c>
      <c r="F1095" s="34"/>
      <c r="G10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5" s="1"/>
    </row>
    <row r="1096" spans="2:8" hidden="1" x14ac:dyDescent="0.25">
      <c r="B1096" s="25" t="str">
        <f>IFERROR(VLOOKUP(tbEquipe[[#This Row],[Nome]],tbFOPAG[[Nome]:[Cargo]],2,0),"&lt;Selecionar Nome&gt;")</f>
        <v>&lt;Selecionar Nome&gt;</v>
      </c>
      <c r="E1096">
        <f>176*tbEquipe[[#This Row],[Alocação]]</f>
        <v>0</v>
      </c>
      <c r="F1096" s="34"/>
      <c r="G10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6" s="1"/>
    </row>
    <row r="1097" spans="2:8" hidden="1" x14ac:dyDescent="0.25">
      <c r="B1097" s="25" t="str">
        <f>IFERROR(VLOOKUP(tbEquipe[[#This Row],[Nome]],tbFOPAG[[Nome]:[Cargo]],2,0),"&lt;Selecionar Nome&gt;")</f>
        <v>&lt;Selecionar Nome&gt;</v>
      </c>
      <c r="E1097">
        <f>176*tbEquipe[[#This Row],[Alocação]]</f>
        <v>0</v>
      </c>
      <c r="F1097" s="34"/>
      <c r="G10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7" s="1"/>
    </row>
    <row r="1098" spans="2:8" hidden="1" x14ac:dyDescent="0.25">
      <c r="B1098" s="25" t="str">
        <f>IFERROR(VLOOKUP(tbEquipe[[#This Row],[Nome]],tbFOPAG[[Nome]:[Cargo]],2,0),"&lt;Selecionar Nome&gt;")</f>
        <v>&lt;Selecionar Nome&gt;</v>
      </c>
      <c r="E1098">
        <f>176*tbEquipe[[#This Row],[Alocação]]</f>
        <v>0</v>
      </c>
      <c r="F1098" s="34"/>
      <c r="G10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8" s="1"/>
    </row>
    <row r="1099" spans="2:8" hidden="1" x14ac:dyDescent="0.25">
      <c r="B1099" s="25" t="str">
        <f>IFERROR(VLOOKUP(tbEquipe[[#This Row],[Nome]],tbFOPAG[[Nome]:[Cargo]],2,0),"&lt;Selecionar Nome&gt;")</f>
        <v>&lt;Selecionar Nome&gt;</v>
      </c>
      <c r="E1099">
        <f>176*tbEquipe[[#This Row],[Alocação]]</f>
        <v>0</v>
      </c>
      <c r="F1099" s="34"/>
      <c r="G10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099" s="1"/>
    </row>
    <row r="1100" spans="2:8" hidden="1" x14ac:dyDescent="0.25">
      <c r="B1100" s="25" t="str">
        <f>IFERROR(VLOOKUP(tbEquipe[[#This Row],[Nome]],tbFOPAG[[Nome]:[Cargo]],2,0),"&lt;Selecionar Nome&gt;")</f>
        <v>&lt;Selecionar Nome&gt;</v>
      </c>
      <c r="E1100">
        <f>176*tbEquipe[[#This Row],[Alocação]]</f>
        <v>0</v>
      </c>
      <c r="F1100" s="34"/>
      <c r="G11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0" s="1"/>
    </row>
    <row r="1101" spans="2:8" hidden="1" x14ac:dyDescent="0.25">
      <c r="B1101" s="25" t="str">
        <f>IFERROR(VLOOKUP(tbEquipe[[#This Row],[Nome]],tbFOPAG[[Nome]:[Cargo]],2,0),"&lt;Selecionar Nome&gt;")</f>
        <v>&lt;Selecionar Nome&gt;</v>
      </c>
      <c r="E1101">
        <f>176*tbEquipe[[#This Row],[Alocação]]</f>
        <v>0</v>
      </c>
      <c r="F1101" s="34"/>
      <c r="G11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1" s="1"/>
    </row>
    <row r="1102" spans="2:8" hidden="1" x14ac:dyDescent="0.25">
      <c r="B1102" s="25" t="str">
        <f>IFERROR(VLOOKUP(tbEquipe[[#This Row],[Nome]],tbFOPAG[[Nome]:[Cargo]],2,0),"&lt;Selecionar Nome&gt;")</f>
        <v>&lt;Selecionar Nome&gt;</v>
      </c>
      <c r="E1102">
        <f>176*tbEquipe[[#This Row],[Alocação]]</f>
        <v>0</v>
      </c>
      <c r="F1102" s="34"/>
      <c r="G11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2" s="1"/>
    </row>
    <row r="1103" spans="2:8" hidden="1" x14ac:dyDescent="0.25">
      <c r="B1103" s="25" t="str">
        <f>IFERROR(VLOOKUP(tbEquipe[[#This Row],[Nome]],tbFOPAG[[Nome]:[Cargo]],2,0),"&lt;Selecionar Nome&gt;")</f>
        <v>&lt;Selecionar Nome&gt;</v>
      </c>
      <c r="E1103">
        <f>176*tbEquipe[[#This Row],[Alocação]]</f>
        <v>0</v>
      </c>
      <c r="F1103" s="34"/>
      <c r="G11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3" s="1"/>
    </row>
    <row r="1104" spans="2:8" hidden="1" x14ac:dyDescent="0.25">
      <c r="B1104" s="25" t="str">
        <f>IFERROR(VLOOKUP(tbEquipe[[#This Row],[Nome]],tbFOPAG[[Nome]:[Cargo]],2,0),"&lt;Selecionar Nome&gt;")</f>
        <v>&lt;Selecionar Nome&gt;</v>
      </c>
      <c r="E1104">
        <f>176*tbEquipe[[#This Row],[Alocação]]</f>
        <v>0</v>
      </c>
      <c r="F1104" s="34"/>
      <c r="G11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4" s="1"/>
    </row>
    <row r="1105" spans="2:8" hidden="1" x14ac:dyDescent="0.25">
      <c r="B1105" s="25" t="str">
        <f>IFERROR(VLOOKUP(tbEquipe[[#This Row],[Nome]],tbFOPAG[[Nome]:[Cargo]],2,0),"&lt;Selecionar Nome&gt;")</f>
        <v>&lt;Selecionar Nome&gt;</v>
      </c>
      <c r="E1105">
        <f>176*tbEquipe[[#This Row],[Alocação]]</f>
        <v>0</v>
      </c>
      <c r="F1105" s="34"/>
      <c r="G11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5" s="1"/>
    </row>
    <row r="1106" spans="2:8" hidden="1" x14ac:dyDescent="0.25">
      <c r="B1106" s="25" t="str">
        <f>IFERROR(VLOOKUP(tbEquipe[[#This Row],[Nome]],tbFOPAG[[Nome]:[Cargo]],2,0),"&lt;Selecionar Nome&gt;")</f>
        <v>&lt;Selecionar Nome&gt;</v>
      </c>
      <c r="E1106">
        <f>176*tbEquipe[[#This Row],[Alocação]]</f>
        <v>0</v>
      </c>
      <c r="F1106" s="34"/>
      <c r="G11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6" s="1"/>
    </row>
    <row r="1107" spans="2:8" hidden="1" x14ac:dyDescent="0.25">
      <c r="B1107" s="25" t="str">
        <f>IFERROR(VLOOKUP(tbEquipe[[#This Row],[Nome]],tbFOPAG[[Nome]:[Cargo]],2,0),"&lt;Selecionar Nome&gt;")</f>
        <v>&lt;Selecionar Nome&gt;</v>
      </c>
      <c r="E1107">
        <f>176*tbEquipe[[#This Row],[Alocação]]</f>
        <v>0</v>
      </c>
      <c r="F1107" s="34"/>
      <c r="G11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7" s="1"/>
    </row>
    <row r="1108" spans="2:8" hidden="1" x14ac:dyDescent="0.25">
      <c r="B1108" s="25" t="str">
        <f>IFERROR(VLOOKUP(tbEquipe[[#This Row],[Nome]],tbFOPAG[[Nome]:[Cargo]],2,0),"&lt;Selecionar Nome&gt;")</f>
        <v>&lt;Selecionar Nome&gt;</v>
      </c>
      <c r="E1108">
        <f>176*tbEquipe[[#This Row],[Alocação]]</f>
        <v>0</v>
      </c>
      <c r="F1108" s="34"/>
      <c r="G11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8" s="1"/>
    </row>
    <row r="1109" spans="2:8" hidden="1" x14ac:dyDescent="0.25">
      <c r="B1109" s="25" t="str">
        <f>IFERROR(VLOOKUP(tbEquipe[[#This Row],[Nome]],tbFOPAG[[Nome]:[Cargo]],2,0),"&lt;Selecionar Nome&gt;")</f>
        <v>&lt;Selecionar Nome&gt;</v>
      </c>
      <c r="E1109">
        <f>176*tbEquipe[[#This Row],[Alocação]]</f>
        <v>0</v>
      </c>
      <c r="F1109" s="34"/>
      <c r="G11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09" s="1"/>
    </row>
    <row r="1110" spans="2:8" hidden="1" x14ac:dyDescent="0.25">
      <c r="B1110" s="25" t="str">
        <f>IFERROR(VLOOKUP(tbEquipe[[#This Row],[Nome]],tbFOPAG[[Nome]:[Cargo]],2,0),"&lt;Selecionar Nome&gt;")</f>
        <v>&lt;Selecionar Nome&gt;</v>
      </c>
      <c r="E1110">
        <f>176*tbEquipe[[#This Row],[Alocação]]</f>
        <v>0</v>
      </c>
      <c r="F1110" s="34"/>
      <c r="G11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0" s="1"/>
    </row>
    <row r="1111" spans="2:8" hidden="1" x14ac:dyDescent="0.25">
      <c r="B1111" s="25" t="str">
        <f>IFERROR(VLOOKUP(tbEquipe[[#This Row],[Nome]],tbFOPAG[[Nome]:[Cargo]],2,0),"&lt;Selecionar Nome&gt;")</f>
        <v>&lt;Selecionar Nome&gt;</v>
      </c>
      <c r="E1111">
        <f>176*tbEquipe[[#This Row],[Alocação]]</f>
        <v>0</v>
      </c>
      <c r="F1111" s="34"/>
      <c r="G11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1" s="1"/>
    </row>
    <row r="1112" spans="2:8" hidden="1" x14ac:dyDescent="0.25">
      <c r="B1112" s="25" t="str">
        <f>IFERROR(VLOOKUP(tbEquipe[[#This Row],[Nome]],tbFOPAG[[Nome]:[Cargo]],2,0),"&lt;Selecionar Nome&gt;")</f>
        <v>&lt;Selecionar Nome&gt;</v>
      </c>
      <c r="E1112">
        <f>176*tbEquipe[[#This Row],[Alocação]]</f>
        <v>0</v>
      </c>
      <c r="F1112" s="34"/>
      <c r="G11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2" s="1"/>
    </row>
    <row r="1113" spans="2:8" hidden="1" x14ac:dyDescent="0.25">
      <c r="B1113" s="25" t="str">
        <f>IFERROR(VLOOKUP(tbEquipe[[#This Row],[Nome]],tbFOPAG[[Nome]:[Cargo]],2,0),"&lt;Selecionar Nome&gt;")</f>
        <v>&lt;Selecionar Nome&gt;</v>
      </c>
      <c r="E1113">
        <f>176*tbEquipe[[#This Row],[Alocação]]</f>
        <v>0</v>
      </c>
      <c r="F1113" s="34"/>
      <c r="G11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3" s="1"/>
    </row>
    <row r="1114" spans="2:8" hidden="1" x14ac:dyDescent="0.25">
      <c r="B1114" s="25" t="str">
        <f>IFERROR(VLOOKUP(tbEquipe[[#This Row],[Nome]],tbFOPAG[[Nome]:[Cargo]],2,0),"&lt;Selecionar Nome&gt;")</f>
        <v>&lt;Selecionar Nome&gt;</v>
      </c>
      <c r="E1114">
        <f>176*tbEquipe[[#This Row],[Alocação]]</f>
        <v>0</v>
      </c>
      <c r="F1114" s="34"/>
      <c r="G11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4" s="1"/>
    </row>
    <row r="1115" spans="2:8" hidden="1" x14ac:dyDescent="0.25">
      <c r="B1115" s="25" t="str">
        <f>IFERROR(VLOOKUP(tbEquipe[[#This Row],[Nome]],tbFOPAG[[Nome]:[Cargo]],2,0),"&lt;Selecionar Nome&gt;")</f>
        <v>&lt;Selecionar Nome&gt;</v>
      </c>
      <c r="E1115">
        <f>176*tbEquipe[[#This Row],[Alocação]]</f>
        <v>0</v>
      </c>
      <c r="F1115" s="34"/>
      <c r="G11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5" s="1"/>
    </row>
    <row r="1116" spans="2:8" hidden="1" x14ac:dyDescent="0.25">
      <c r="B1116" s="25" t="str">
        <f>IFERROR(VLOOKUP(tbEquipe[[#This Row],[Nome]],tbFOPAG[[Nome]:[Cargo]],2,0),"&lt;Selecionar Nome&gt;")</f>
        <v>&lt;Selecionar Nome&gt;</v>
      </c>
      <c r="E1116">
        <f>176*tbEquipe[[#This Row],[Alocação]]</f>
        <v>0</v>
      </c>
      <c r="F1116" s="34"/>
      <c r="G11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6" s="1"/>
    </row>
    <row r="1117" spans="2:8" hidden="1" x14ac:dyDescent="0.25">
      <c r="B1117" s="25" t="str">
        <f>IFERROR(VLOOKUP(tbEquipe[[#This Row],[Nome]],tbFOPAG[[Nome]:[Cargo]],2,0),"&lt;Selecionar Nome&gt;")</f>
        <v>&lt;Selecionar Nome&gt;</v>
      </c>
      <c r="E1117">
        <f>176*tbEquipe[[#This Row],[Alocação]]</f>
        <v>0</v>
      </c>
      <c r="F1117" s="34"/>
      <c r="G11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7" s="1"/>
    </row>
    <row r="1118" spans="2:8" hidden="1" x14ac:dyDescent="0.25">
      <c r="B1118" s="25" t="str">
        <f>IFERROR(VLOOKUP(tbEquipe[[#This Row],[Nome]],tbFOPAG[[Nome]:[Cargo]],2,0),"&lt;Selecionar Nome&gt;")</f>
        <v>&lt;Selecionar Nome&gt;</v>
      </c>
      <c r="E1118">
        <f>176*tbEquipe[[#This Row],[Alocação]]</f>
        <v>0</v>
      </c>
      <c r="F1118" s="34"/>
      <c r="G11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8" s="1"/>
    </row>
    <row r="1119" spans="2:8" hidden="1" x14ac:dyDescent="0.25">
      <c r="B1119" s="25" t="str">
        <f>IFERROR(VLOOKUP(tbEquipe[[#This Row],[Nome]],tbFOPAG[[Nome]:[Cargo]],2,0),"&lt;Selecionar Nome&gt;")</f>
        <v>&lt;Selecionar Nome&gt;</v>
      </c>
      <c r="E1119">
        <f>176*tbEquipe[[#This Row],[Alocação]]</f>
        <v>0</v>
      </c>
      <c r="F1119" s="34"/>
      <c r="G11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19" s="1"/>
    </row>
    <row r="1120" spans="2:8" hidden="1" x14ac:dyDescent="0.25">
      <c r="B1120" s="25" t="str">
        <f>IFERROR(VLOOKUP(tbEquipe[[#This Row],[Nome]],tbFOPAG[[Nome]:[Cargo]],2,0),"&lt;Selecionar Nome&gt;")</f>
        <v>&lt;Selecionar Nome&gt;</v>
      </c>
      <c r="E1120">
        <f>176*tbEquipe[[#This Row],[Alocação]]</f>
        <v>0</v>
      </c>
      <c r="F1120" s="34"/>
      <c r="G11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0" s="1"/>
    </row>
    <row r="1121" spans="2:8" hidden="1" x14ac:dyDescent="0.25">
      <c r="B1121" s="25" t="str">
        <f>IFERROR(VLOOKUP(tbEquipe[[#This Row],[Nome]],tbFOPAG[[Nome]:[Cargo]],2,0),"&lt;Selecionar Nome&gt;")</f>
        <v>&lt;Selecionar Nome&gt;</v>
      </c>
      <c r="E1121">
        <f>176*tbEquipe[[#This Row],[Alocação]]</f>
        <v>0</v>
      </c>
      <c r="F1121" s="34"/>
      <c r="G11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1" s="1"/>
    </row>
    <row r="1122" spans="2:8" hidden="1" x14ac:dyDescent="0.25">
      <c r="B1122" s="25" t="str">
        <f>IFERROR(VLOOKUP(tbEquipe[[#This Row],[Nome]],tbFOPAG[[Nome]:[Cargo]],2,0),"&lt;Selecionar Nome&gt;")</f>
        <v>&lt;Selecionar Nome&gt;</v>
      </c>
      <c r="E1122">
        <f>176*tbEquipe[[#This Row],[Alocação]]</f>
        <v>0</v>
      </c>
      <c r="F1122" s="34"/>
      <c r="G11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2" s="1"/>
    </row>
    <row r="1123" spans="2:8" hidden="1" x14ac:dyDescent="0.25">
      <c r="B1123" s="25" t="str">
        <f>IFERROR(VLOOKUP(tbEquipe[[#This Row],[Nome]],tbFOPAG[[Nome]:[Cargo]],2,0),"&lt;Selecionar Nome&gt;")</f>
        <v>&lt;Selecionar Nome&gt;</v>
      </c>
      <c r="E1123">
        <f>176*tbEquipe[[#This Row],[Alocação]]</f>
        <v>0</v>
      </c>
      <c r="F1123" s="34"/>
      <c r="G11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3" s="1"/>
    </row>
    <row r="1124" spans="2:8" hidden="1" x14ac:dyDescent="0.25">
      <c r="B1124" s="25" t="str">
        <f>IFERROR(VLOOKUP(tbEquipe[[#This Row],[Nome]],tbFOPAG[[Nome]:[Cargo]],2,0),"&lt;Selecionar Nome&gt;")</f>
        <v>&lt;Selecionar Nome&gt;</v>
      </c>
      <c r="E1124">
        <f>176*tbEquipe[[#This Row],[Alocação]]</f>
        <v>0</v>
      </c>
      <c r="F1124" s="34"/>
      <c r="G11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4" s="1"/>
    </row>
    <row r="1125" spans="2:8" hidden="1" x14ac:dyDescent="0.25">
      <c r="B1125" s="25" t="str">
        <f>IFERROR(VLOOKUP(tbEquipe[[#This Row],[Nome]],tbFOPAG[[Nome]:[Cargo]],2,0),"&lt;Selecionar Nome&gt;")</f>
        <v>&lt;Selecionar Nome&gt;</v>
      </c>
      <c r="E1125">
        <f>176*tbEquipe[[#This Row],[Alocação]]</f>
        <v>0</v>
      </c>
      <c r="F1125" s="34"/>
      <c r="G11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5" s="1"/>
    </row>
    <row r="1126" spans="2:8" hidden="1" x14ac:dyDescent="0.25">
      <c r="B1126" s="25" t="str">
        <f>IFERROR(VLOOKUP(tbEquipe[[#This Row],[Nome]],tbFOPAG[[Nome]:[Cargo]],2,0),"&lt;Selecionar Nome&gt;")</f>
        <v>&lt;Selecionar Nome&gt;</v>
      </c>
      <c r="E1126">
        <f>176*tbEquipe[[#This Row],[Alocação]]</f>
        <v>0</v>
      </c>
      <c r="F1126" s="34"/>
      <c r="G11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6" s="1"/>
    </row>
    <row r="1127" spans="2:8" hidden="1" x14ac:dyDescent="0.25">
      <c r="B1127" s="25" t="str">
        <f>IFERROR(VLOOKUP(tbEquipe[[#This Row],[Nome]],tbFOPAG[[Nome]:[Cargo]],2,0),"&lt;Selecionar Nome&gt;")</f>
        <v>&lt;Selecionar Nome&gt;</v>
      </c>
      <c r="E1127">
        <f>176*tbEquipe[[#This Row],[Alocação]]</f>
        <v>0</v>
      </c>
      <c r="F1127" s="34"/>
      <c r="G11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7" s="1"/>
    </row>
    <row r="1128" spans="2:8" hidden="1" x14ac:dyDescent="0.25">
      <c r="B1128" s="25" t="str">
        <f>IFERROR(VLOOKUP(tbEquipe[[#This Row],[Nome]],tbFOPAG[[Nome]:[Cargo]],2,0),"&lt;Selecionar Nome&gt;")</f>
        <v>&lt;Selecionar Nome&gt;</v>
      </c>
      <c r="E1128">
        <f>176*tbEquipe[[#This Row],[Alocação]]</f>
        <v>0</v>
      </c>
      <c r="F1128" s="34"/>
      <c r="G11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8" s="1"/>
    </row>
    <row r="1129" spans="2:8" hidden="1" x14ac:dyDescent="0.25">
      <c r="B1129" s="25" t="str">
        <f>IFERROR(VLOOKUP(tbEquipe[[#This Row],[Nome]],tbFOPAG[[Nome]:[Cargo]],2,0),"&lt;Selecionar Nome&gt;")</f>
        <v>&lt;Selecionar Nome&gt;</v>
      </c>
      <c r="E1129">
        <f>176*tbEquipe[[#This Row],[Alocação]]</f>
        <v>0</v>
      </c>
      <c r="F1129" s="34"/>
      <c r="G11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29" s="1"/>
    </row>
    <row r="1130" spans="2:8" hidden="1" x14ac:dyDescent="0.25">
      <c r="B1130" s="25" t="str">
        <f>IFERROR(VLOOKUP(tbEquipe[[#This Row],[Nome]],tbFOPAG[[Nome]:[Cargo]],2,0),"&lt;Selecionar Nome&gt;")</f>
        <v>&lt;Selecionar Nome&gt;</v>
      </c>
      <c r="E1130">
        <f>176*tbEquipe[[#This Row],[Alocação]]</f>
        <v>0</v>
      </c>
      <c r="F1130" s="34"/>
      <c r="G11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0" s="1"/>
    </row>
    <row r="1131" spans="2:8" hidden="1" x14ac:dyDescent="0.25">
      <c r="B1131" s="25" t="str">
        <f>IFERROR(VLOOKUP(tbEquipe[[#This Row],[Nome]],tbFOPAG[[Nome]:[Cargo]],2,0),"&lt;Selecionar Nome&gt;")</f>
        <v>&lt;Selecionar Nome&gt;</v>
      </c>
      <c r="E1131">
        <f>176*tbEquipe[[#This Row],[Alocação]]</f>
        <v>0</v>
      </c>
      <c r="F1131" s="34"/>
      <c r="G11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1" s="1"/>
    </row>
    <row r="1132" spans="2:8" hidden="1" x14ac:dyDescent="0.25">
      <c r="B1132" s="25" t="str">
        <f>IFERROR(VLOOKUP(tbEquipe[[#This Row],[Nome]],tbFOPAG[[Nome]:[Cargo]],2,0),"&lt;Selecionar Nome&gt;")</f>
        <v>&lt;Selecionar Nome&gt;</v>
      </c>
      <c r="E1132">
        <f>176*tbEquipe[[#This Row],[Alocação]]</f>
        <v>0</v>
      </c>
      <c r="F1132" s="34"/>
      <c r="G11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2" s="1"/>
    </row>
    <row r="1133" spans="2:8" hidden="1" x14ac:dyDescent="0.25">
      <c r="B1133" s="25" t="str">
        <f>IFERROR(VLOOKUP(tbEquipe[[#This Row],[Nome]],tbFOPAG[[Nome]:[Cargo]],2,0),"&lt;Selecionar Nome&gt;")</f>
        <v>&lt;Selecionar Nome&gt;</v>
      </c>
      <c r="E1133">
        <f>176*tbEquipe[[#This Row],[Alocação]]</f>
        <v>0</v>
      </c>
      <c r="F1133" s="34"/>
      <c r="G11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3" s="1"/>
    </row>
    <row r="1134" spans="2:8" hidden="1" x14ac:dyDescent="0.25">
      <c r="B1134" s="25" t="str">
        <f>IFERROR(VLOOKUP(tbEquipe[[#This Row],[Nome]],tbFOPAG[[Nome]:[Cargo]],2,0),"&lt;Selecionar Nome&gt;")</f>
        <v>&lt;Selecionar Nome&gt;</v>
      </c>
      <c r="E1134">
        <f>176*tbEquipe[[#This Row],[Alocação]]</f>
        <v>0</v>
      </c>
      <c r="F1134" s="34"/>
      <c r="G11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4" s="1"/>
    </row>
    <row r="1135" spans="2:8" hidden="1" x14ac:dyDescent="0.25">
      <c r="B1135" s="25" t="str">
        <f>IFERROR(VLOOKUP(tbEquipe[[#This Row],[Nome]],tbFOPAG[[Nome]:[Cargo]],2,0),"&lt;Selecionar Nome&gt;")</f>
        <v>&lt;Selecionar Nome&gt;</v>
      </c>
      <c r="E1135">
        <f>176*tbEquipe[[#This Row],[Alocação]]</f>
        <v>0</v>
      </c>
      <c r="F1135" s="34"/>
      <c r="G11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5" s="1"/>
    </row>
    <row r="1136" spans="2:8" hidden="1" x14ac:dyDescent="0.25">
      <c r="B1136" s="25" t="str">
        <f>IFERROR(VLOOKUP(tbEquipe[[#This Row],[Nome]],tbFOPAG[[Nome]:[Cargo]],2,0),"&lt;Selecionar Nome&gt;")</f>
        <v>&lt;Selecionar Nome&gt;</v>
      </c>
      <c r="E1136">
        <f>176*tbEquipe[[#This Row],[Alocação]]</f>
        <v>0</v>
      </c>
      <c r="F1136" s="34"/>
      <c r="G11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6" s="1"/>
    </row>
    <row r="1137" spans="2:8" hidden="1" x14ac:dyDescent="0.25">
      <c r="B1137" s="25" t="str">
        <f>IFERROR(VLOOKUP(tbEquipe[[#This Row],[Nome]],tbFOPAG[[Nome]:[Cargo]],2,0),"&lt;Selecionar Nome&gt;")</f>
        <v>&lt;Selecionar Nome&gt;</v>
      </c>
      <c r="E1137">
        <f>176*tbEquipe[[#This Row],[Alocação]]</f>
        <v>0</v>
      </c>
      <c r="F1137" s="34"/>
      <c r="G11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7" s="1"/>
    </row>
    <row r="1138" spans="2:8" hidden="1" x14ac:dyDescent="0.25">
      <c r="B1138" s="25" t="str">
        <f>IFERROR(VLOOKUP(tbEquipe[[#This Row],[Nome]],tbFOPAG[[Nome]:[Cargo]],2,0),"&lt;Selecionar Nome&gt;")</f>
        <v>&lt;Selecionar Nome&gt;</v>
      </c>
      <c r="E1138">
        <f>176*tbEquipe[[#This Row],[Alocação]]</f>
        <v>0</v>
      </c>
      <c r="F1138" s="34"/>
      <c r="G11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8" s="1"/>
    </row>
    <row r="1139" spans="2:8" hidden="1" x14ac:dyDescent="0.25">
      <c r="B1139" s="25" t="str">
        <f>IFERROR(VLOOKUP(tbEquipe[[#This Row],[Nome]],tbFOPAG[[Nome]:[Cargo]],2,0),"&lt;Selecionar Nome&gt;")</f>
        <v>&lt;Selecionar Nome&gt;</v>
      </c>
      <c r="E1139">
        <f>176*tbEquipe[[#This Row],[Alocação]]</f>
        <v>0</v>
      </c>
      <c r="F1139" s="34"/>
      <c r="G11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39" s="1"/>
    </row>
    <row r="1140" spans="2:8" hidden="1" x14ac:dyDescent="0.25">
      <c r="B1140" s="25" t="str">
        <f>IFERROR(VLOOKUP(tbEquipe[[#This Row],[Nome]],tbFOPAG[[Nome]:[Cargo]],2,0),"&lt;Selecionar Nome&gt;")</f>
        <v>&lt;Selecionar Nome&gt;</v>
      </c>
      <c r="E1140">
        <f>176*tbEquipe[[#This Row],[Alocação]]</f>
        <v>0</v>
      </c>
      <c r="F1140" s="34"/>
      <c r="G11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0" s="1"/>
    </row>
    <row r="1141" spans="2:8" hidden="1" x14ac:dyDescent="0.25">
      <c r="B1141" s="25" t="str">
        <f>IFERROR(VLOOKUP(tbEquipe[[#This Row],[Nome]],tbFOPAG[[Nome]:[Cargo]],2,0),"&lt;Selecionar Nome&gt;")</f>
        <v>&lt;Selecionar Nome&gt;</v>
      </c>
      <c r="E1141">
        <f>176*tbEquipe[[#This Row],[Alocação]]</f>
        <v>0</v>
      </c>
      <c r="F1141" s="34"/>
      <c r="G11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1" s="1"/>
    </row>
    <row r="1142" spans="2:8" hidden="1" x14ac:dyDescent="0.25">
      <c r="B1142" s="25" t="str">
        <f>IFERROR(VLOOKUP(tbEquipe[[#This Row],[Nome]],tbFOPAG[[Nome]:[Cargo]],2,0),"&lt;Selecionar Nome&gt;")</f>
        <v>&lt;Selecionar Nome&gt;</v>
      </c>
      <c r="E1142">
        <f>176*tbEquipe[[#This Row],[Alocação]]</f>
        <v>0</v>
      </c>
      <c r="F1142" s="34"/>
      <c r="G11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2" s="1"/>
    </row>
    <row r="1143" spans="2:8" hidden="1" x14ac:dyDescent="0.25">
      <c r="B1143" s="25" t="str">
        <f>IFERROR(VLOOKUP(tbEquipe[[#This Row],[Nome]],tbFOPAG[[Nome]:[Cargo]],2,0),"&lt;Selecionar Nome&gt;")</f>
        <v>&lt;Selecionar Nome&gt;</v>
      </c>
      <c r="E1143">
        <f>176*tbEquipe[[#This Row],[Alocação]]</f>
        <v>0</v>
      </c>
      <c r="F1143" s="34"/>
      <c r="G11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3" s="1"/>
    </row>
    <row r="1144" spans="2:8" hidden="1" x14ac:dyDescent="0.25">
      <c r="B1144" s="25" t="str">
        <f>IFERROR(VLOOKUP(tbEquipe[[#This Row],[Nome]],tbFOPAG[[Nome]:[Cargo]],2,0),"&lt;Selecionar Nome&gt;")</f>
        <v>&lt;Selecionar Nome&gt;</v>
      </c>
      <c r="E1144">
        <f>176*tbEquipe[[#This Row],[Alocação]]</f>
        <v>0</v>
      </c>
      <c r="F1144" s="34"/>
      <c r="G11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4" s="1"/>
    </row>
    <row r="1145" spans="2:8" hidden="1" x14ac:dyDescent="0.25">
      <c r="B1145" s="25" t="str">
        <f>IFERROR(VLOOKUP(tbEquipe[[#This Row],[Nome]],tbFOPAG[[Nome]:[Cargo]],2,0),"&lt;Selecionar Nome&gt;")</f>
        <v>&lt;Selecionar Nome&gt;</v>
      </c>
      <c r="E1145">
        <f>176*tbEquipe[[#This Row],[Alocação]]</f>
        <v>0</v>
      </c>
      <c r="F1145" s="34"/>
      <c r="G11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5" s="1"/>
    </row>
    <row r="1146" spans="2:8" hidden="1" x14ac:dyDescent="0.25">
      <c r="B1146" s="25" t="str">
        <f>IFERROR(VLOOKUP(tbEquipe[[#This Row],[Nome]],tbFOPAG[[Nome]:[Cargo]],2,0),"&lt;Selecionar Nome&gt;")</f>
        <v>&lt;Selecionar Nome&gt;</v>
      </c>
      <c r="E1146">
        <f>176*tbEquipe[[#This Row],[Alocação]]</f>
        <v>0</v>
      </c>
      <c r="F1146" s="34"/>
      <c r="G11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6" s="1"/>
    </row>
    <row r="1147" spans="2:8" hidden="1" x14ac:dyDescent="0.25">
      <c r="B1147" s="25" t="str">
        <f>IFERROR(VLOOKUP(tbEquipe[[#This Row],[Nome]],tbFOPAG[[Nome]:[Cargo]],2,0),"&lt;Selecionar Nome&gt;")</f>
        <v>&lt;Selecionar Nome&gt;</v>
      </c>
      <c r="E1147">
        <f>176*tbEquipe[[#This Row],[Alocação]]</f>
        <v>0</v>
      </c>
      <c r="F1147" s="34"/>
      <c r="G11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7" s="1"/>
    </row>
    <row r="1148" spans="2:8" hidden="1" x14ac:dyDescent="0.25">
      <c r="B1148" s="25" t="str">
        <f>IFERROR(VLOOKUP(tbEquipe[[#This Row],[Nome]],tbFOPAG[[Nome]:[Cargo]],2,0),"&lt;Selecionar Nome&gt;")</f>
        <v>&lt;Selecionar Nome&gt;</v>
      </c>
      <c r="E1148">
        <f>176*tbEquipe[[#This Row],[Alocação]]</f>
        <v>0</v>
      </c>
      <c r="F1148" s="34"/>
      <c r="G11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8" s="1"/>
    </row>
    <row r="1149" spans="2:8" hidden="1" x14ac:dyDescent="0.25">
      <c r="B1149" s="25" t="str">
        <f>IFERROR(VLOOKUP(tbEquipe[[#This Row],[Nome]],tbFOPAG[[Nome]:[Cargo]],2,0),"&lt;Selecionar Nome&gt;")</f>
        <v>&lt;Selecionar Nome&gt;</v>
      </c>
      <c r="E1149">
        <f>176*tbEquipe[[#This Row],[Alocação]]</f>
        <v>0</v>
      </c>
      <c r="F1149" s="34"/>
      <c r="G11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49" s="1"/>
    </row>
    <row r="1150" spans="2:8" hidden="1" x14ac:dyDescent="0.25">
      <c r="B1150" s="25" t="str">
        <f>IFERROR(VLOOKUP(tbEquipe[[#This Row],[Nome]],tbFOPAG[[Nome]:[Cargo]],2,0),"&lt;Selecionar Nome&gt;")</f>
        <v>&lt;Selecionar Nome&gt;</v>
      </c>
      <c r="E1150">
        <f>176*tbEquipe[[#This Row],[Alocação]]</f>
        <v>0</v>
      </c>
      <c r="F1150" s="34"/>
      <c r="G11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0" s="1"/>
    </row>
    <row r="1151" spans="2:8" hidden="1" x14ac:dyDescent="0.25">
      <c r="B1151" s="25" t="str">
        <f>IFERROR(VLOOKUP(tbEquipe[[#This Row],[Nome]],tbFOPAG[[Nome]:[Cargo]],2,0),"&lt;Selecionar Nome&gt;")</f>
        <v>&lt;Selecionar Nome&gt;</v>
      </c>
      <c r="E1151">
        <f>176*tbEquipe[[#This Row],[Alocação]]</f>
        <v>0</v>
      </c>
      <c r="F1151" s="34"/>
      <c r="G11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1" s="1"/>
    </row>
    <row r="1152" spans="2:8" hidden="1" x14ac:dyDescent="0.25">
      <c r="B1152" s="25" t="str">
        <f>IFERROR(VLOOKUP(tbEquipe[[#This Row],[Nome]],tbFOPAG[[Nome]:[Cargo]],2,0),"&lt;Selecionar Nome&gt;")</f>
        <v>&lt;Selecionar Nome&gt;</v>
      </c>
      <c r="E1152">
        <f>176*tbEquipe[[#This Row],[Alocação]]</f>
        <v>0</v>
      </c>
      <c r="F1152" s="34"/>
      <c r="G11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2" s="1"/>
    </row>
    <row r="1153" spans="2:8" hidden="1" x14ac:dyDescent="0.25">
      <c r="B1153" s="25" t="str">
        <f>IFERROR(VLOOKUP(tbEquipe[[#This Row],[Nome]],tbFOPAG[[Nome]:[Cargo]],2,0),"&lt;Selecionar Nome&gt;")</f>
        <v>&lt;Selecionar Nome&gt;</v>
      </c>
      <c r="E1153">
        <f>176*tbEquipe[[#This Row],[Alocação]]</f>
        <v>0</v>
      </c>
      <c r="F1153" s="34"/>
      <c r="G11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3" s="1"/>
    </row>
    <row r="1154" spans="2:8" hidden="1" x14ac:dyDescent="0.25">
      <c r="B1154" s="25" t="str">
        <f>IFERROR(VLOOKUP(tbEquipe[[#This Row],[Nome]],tbFOPAG[[Nome]:[Cargo]],2,0),"&lt;Selecionar Nome&gt;")</f>
        <v>&lt;Selecionar Nome&gt;</v>
      </c>
      <c r="E1154">
        <f>176*tbEquipe[[#This Row],[Alocação]]</f>
        <v>0</v>
      </c>
      <c r="F1154" s="34"/>
      <c r="G11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4" s="1"/>
    </row>
    <row r="1155" spans="2:8" hidden="1" x14ac:dyDescent="0.25">
      <c r="B1155" s="25" t="str">
        <f>IFERROR(VLOOKUP(tbEquipe[[#This Row],[Nome]],tbFOPAG[[Nome]:[Cargo]],2,0),"&lt;Selecionar Nome&gt;")</f>
        <v>&lt;Selecionar Nome&gt;</v>
      </c>
      <c r="E1155">
        <f>176*tbEquipe[[#This Row],[Alocação]]</f>
        <v>0</v>
      </c>
      <c r="F1155" s="34"/>
      <c r="G11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5" s="1"/>
    </row>
    <row r="1156" spans="2:8" hidden="1" x14ac:dyDescent="0.25">
      <c r="B1156" s="25" t="str">
        <f>IFERROR(VLOOKUP(tbEquipe[[#This Row],[Nome]],tbFOPAG[[Nome]:[Cargo]],2,0),"&lt;Selecionar Nome&gt;")</f>
        <v>&lt;Selecionar Nome&gt;</v>
      </c>
      <c r="E1156">
        <f>176*tbEquipe[[#This Row],[Alocação]]</f>
        <v>0</v>
      </c>
      <c r="F1156" s="34"/>
      <c r="G11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6" s="1"/>
    </row>
    <row r="1157" spans="2:8" hidden="1" x14ac:dyDescent="0.25">
      <c r="B1157" s="25" t="str">
        <f>IFERROR(VLOOKUP(tbEquipe[[#This Row],[Nome]],tbFOPAG[[Nome]:[Cargo]],2,0),"&lt;Selecionar Nome&gt;")</f>
        <v>&lt;Selecionar Nome&gt;</v>
      </c>
      <c r="E1157">
        <f>176*tbEquipe[[#This Row],[Alocação]]</f>
        <v>0</v>
      </c>
      <c r="F1157" s="34"/>
      <c r="G11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7" s="1"/>
    </row>
    <row r="1158" spans="2:8" hidden="1" x14ac:dyDescent="0.25">
      <c r="B1158" s="25" t="str">
        <f>IFERROR(VLOOKUP(tbEquipe[[#This Row],[Nome]],tbFOPAG[[Nome]:[Cargo]],2,0),"&lt;Selecionar Nome&gt;")</f>
        <v>&lt;Selecionar Nome&gt;</v>
      </c>
      <c r="E1158">
        <f>176*tbEquipe[[#This Row],[Alocação]]</f>
        <v>0</v>
      </c>
      <c r="F1158" s="34"/>
      <c r="G11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8" s="1"/>
    </row>
    <row r="1159" spans="2:8" hidden="1" x14ac:dyDescent="0.25">
      <c r="B1159" s="25" t="str">
        <f>IFERROR(VLOOKUP(tbEquipe[[#This Row],[Nome]],tbFOPAG[[Nome]:[Cargo]],2,0),"&lt;Selecionar Nome&gt;")</f>
        <v>&lt;Selecionar Nome&gt;</v>
      </c>
      <c r="E1159">
        <f>176*tbEquipe[[#This Row],[Alocação]]</f>
        <v>0</v>
      </c>
      <c r="F1159" s="34"/>
      <c r="G11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59" s="1"/>
    </row>
    <row r="1160" spans="2:8" hidden="1" x14ac:dyDescent="0.25">
      <c r="B1160" s="25" t="str">
        <f>IFERROR(VLOOKUP(tbEquipe[[#This Row],[Nome]],tbFOPAG[[Nome]:[Cargo]],2,0),"&lt;Selecionar Nome&gt;")</f>
        <v>&lt;Selecionar Nome&gt;</v>
      </c>
      <c r="E1160">
        <f>176*tbEquipe[[#This Row],[Alocação]]</f>
        <v>0</v>
      </c>
      <c r="F1160" s="34"/>
      <c r="G11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0" s="1"/>
    </row>
    <row r="1161" spans="2:8" hidden="1" x14ac:dyDescent="0.25">
      <c r="B1161" s="25" t="str">
        <f>IFERROR(VLOOKUP(tbEquipe[[#This Row],[Nome]],tbFOPAG[[Nome]:[Cargo]],2,0),"&lt;Selecionar Nome&gt;")</f>
        <v>&lt;Selecionar Nome&gt;</v>
      </c>
      <c r="E1161">
        <f>176*tbEquipe[[#This Row],[Alocação]]</f>
        <v>0</v>
      </c>
      <c r="F1161" s="34"/>
      <c r="G11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1" s="1"/>
    </row>
    <row r="1162" spans="2:8" hidden="1" x14ac:dyDescent="0.25">
      <c r="B1162" s="25" t="str">
        <f>IFERROR(VLOOKUP(tbEquipe[[#This Row],[Nome]],tbFOPAG[[Nome]:[Cargo]],2,0),"&lt;Selecionar Nome&gt;")</f>
        <v>&lt;Selecionar Nome&gt;</v>
      </c>
      <c r="E1162">
        <f>176*tbEquipe[[#This Row],[Alocação]]</f>
        <v>0</v>
      </c>
      <c r="F1162" s="34"/>
      <c r="G11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2" s="1"/>
    </row>
    <row r="1163" spans="2:8" hidden="1" x14ac:dyDescent="0.25">
      <c r="B1163" s="25" t="str">
        <f>IFERROR(VLOOKUP(tbEquipe[[#This Row],[Nome]],tbFOPAG[[Nome]:[Cargo]],2,0),"&lt;Selecionar Nome&gt;")</f>
        <v>&lt;Selecionar Nome&gt;</v>
      </c>
      <c r="E1163">
        <f>176*tbEquipe[[#This Row],[Alocação]]</f>
        <v>0</v>
      </c>
      <c r="F1163" s="34"/>
      <c r="G11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3" s="1"/>
    </row>
    <row r="1164" spans="2:8" hidden="1" x14ac:dyDescent="0.25">
      <c r="B1164" s="25" t="str">
        <f>IFERROR(VLOOKUP(tbEquipe[[#This Row],[Nome]],tbFOPAG[[Nome]:[Cargo]],2,0),"&lt;Selecionar Nome&gt;")</f>
        <v>&lt;Selecionar Nome&gt;</v>
      </c>
      <c r="E1164">
        <f>176*tbEquipe[[#This Row],[Alocação]]</f>
        <v>0</v>
      </c>
      <c r="F1164" s="34"/>
      <c r="G11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4" s="1"/>
    </row>
    <row r="1165" spans="2:8" hidden="1" x14ac:dyDescent="0.25">
      <c r="B1165" s="25" t="str">
        <f>IFERROR(VLOOKUP(tbEquipe[[#This Row],[Nome]],tbFOPAG[[Nome]:[Cargo]],2,0),"&lt;Selecionar Nome&gt;")</f>
        <v>&lt;Selecionar Nome&gt;</v>
      </c>
      <c r="E1165">
        <f>176*tbEquipe[[#This Row],[Alocação]]</f>
        <v>0</v>
      </c>
      <c r="F1165" s="34"/>
      <c r="G11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5" s="1"/>
    </row>
    <row r="1166" spans="2:8" hidden="1" x14ac:dyDescent="0.25">
      <c r="B1166" s="25" t="str">
        <f>IFERROR(VLOOKUP(tbEquipe[[#This Row],[Nome]],tbFOPAG[[Nome]:[Cargo]],2,0),"&lt;Selecionar Nome&gt;")</f>
        <v>&lt;Selecionar Nome&gt;</v>
      </c>
      <c r="E1166">
        <f>176*tbEquipe[[#This Row],[Alocação]]</f>
        <v>0</v>
      </c>
      <c r="F1166" s="34"/>
      <c r="G11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6" s="1"/>
    </row>
    <row r="1167" spans="2:8" hidden="1" x14ac:dyDescent="0.25">
      <c r="B1167" s="25" t="str">
        <f>IFERROR(VLOOKUP(tbEquipe[[#This Row],[Nome]],tbFOPAG[[Nome]:[Cargo]],2,0),"&lt;Selecionar Nome&gt;")</f>
        <v>&lt;Selecionar Nome&gt;</v>
      </c>
      <c r="E1167">
        <f>176*tbEquipe[[#This Row],[Alocação]]</f>
        <v>0</v>
      </c>
      <c r="F1167" s="34"/>
      <c r="G11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7" s="1"/>
    </row>
    <row r="1168" spans="2:8" hidden="1" x14ac:dyDescent="0.25">
      <c r="B1168" s="25" t="str">
        <f>IFERROR(VLOOKUP(tbEquipe[[#This Row],[Nome]],tbFOPAG[[Nome]:[Cargo]],2,0),"&lt;Selecionar Nome&gt;")</f>
        <v>&lt;Selecionar Nome&gt;</v>
      </c>
      <c r="E1168">
        <f>176*tbEquipe[[#This Row],[Alocação]]</f>
        <v>0</v>
      </c>
      <c r="F1168" s="34"/>
      <c r="G11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8" s="1"/>
    </row>
    <row r="1169" spans="2:8" hidden="1" x14ac:dyDescent="0.25">
      <c r="B1169" s="25" t="str">
        <f>IFERROR(VLOOKUP(tbEquipe[[#This Row],[Nome]],tbFOPAG[[Nome]:[Cargo]],2,0),"&lt;Selecionar Nome&gt;")</f>
        <v>&lt;Selecionar Nome&gt;</v>
      </c>
      <c r="E1169">
        <f>176*tbEquipe[[#This Row],[Alocação]]</f>
        <v>0</v>
      </c>
      <c r="F1169" s="34"/>
      <c r="G11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69" s="1"/>
    </row>
    <row r="1170" spans="2:8" hidden="1" x14ac:dyDescent="0.25">
      <c r="B1170" s="25" t="str">
        <f>IFERROR(VLOOKUP(tbEquipe[[#This Row],[Nome]],tbFOPAG[[Nome]:[Cargo]],2,0),"&lt;Selecionar Nome&gt;")</f>
        <v>&lt;Selecionar Nome&gt;</v>
      </c>
      <c r="E1170">
        <f>176*tbEquipe[[#This Row],[Alocação]]</f>
        <v>0</v>
      </c>
      <c r="F1170" s="34"/>
      <c r="G11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0" s="1"/>
    </row>
    <row r="1171" spans="2:8" hidden="1" x14ac:dyDescent="0.25">
      <c r="B1171" s="25" t="str">
        <f>IFERROR(VLOOKUP(tbEquipe[[#This Row],[Nome]],tbFOPAG[[Nome]:[Cargo]],2,0),"&lt;Selecionar Nome&gt;")</f>
        <v>&lt;Selecionar Nome&gt;</v>
      </c>
      <c r="E1171">
        <f>176*tbEquipe[[#This Row],[Alocação]]</f>
        <v>0</v>
      </c>
      <c r="F1171" s="34"/>
      <c r="G11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1" s="1"/>
    </row>
    <row r="1172" spans="2:8" hidden="1" x14ac:dyDescent="0.25">
      <c r="B1172" s="25" t="str">
        <f>IFERROR(VLOOKUP(tbEquipe[[#This Row],[Nome]],tbFOPAG[[Nome]:[Cargo]],2,0),"&lt;Selecionar Nome&gt;")</f>
        <v>&lt;Selecionar Nome&gt;</v>
      </c>
      <c r="E1172">
        <f>176*tbEquipe[[#This Row],[Alocação]]</f>
        <v>0</v>
      </c>
      <c r="F1172" s="34"/>
      <c r="G11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2" s="1"/>
    </row>
    <row r="1173" spans="2:8" hidden="1" x14ac:dyDescent="0.25">
      <c r="B1173" s="25" t="str">
        <f>IFERROR(VLOOKUP(tbEquipe[[#This Row],[Nome]],tbFOPAG[[Nome]:[Cargo]],2,0),"&lt;Selecionar Nome&gt;")</f>
        <v>&lt;Selecionar Nome&gt;</v>
      </c>
      <c r="E1173">
        <f>176*tbEquipe[[#This Row],[Alocação]]</f>
        <v>0</v>
      </c>
      <c r="F1173" s="34"/>
      <c r="G11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3" s="1"/>
    </row>
    <row r="1174" spans="2:8" hidden="1" x14ac:dyDescent="0.25">
      <c r="B1174" s="25" t="str">
        <f>IFERROR(VLOOKUP(tbEquipe[[#This Row],[Nome]],tbFOPAG[[Nome]:[Cargo]],2,0),"&lt;Selecionar Nome&gt;")</f>
        <v>&lt;Selecionar Nome&gt;</v>
      </c>
      <c r="E1174">
        <f>176*tbEquipe[[#This Row],[Alocação]]</f>
        <v>0</v>
      </c>
      <c r="F1174" s="34"/>
      <c r="G11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4" s="1"/>
    </row>
    <row r="1175" spans="2:8" hidden="1" x14ac:dyDescent="0.25">
      <c r="B1175" s="25" t="str">
        <f>IFERROR(VLOOKUP(tbEquipe[[#This Row],[Nome]],tbFOPAG[[Nome]:[Cargo]],2,0),"&lt;Selecionar Nome&gt;")</f>
        <v>&lt;Selecionar Nome&gt;</v>
      </c>
      <c r="E1175">
        <f>176*tbEquipe[[#This Row],[Alocação]]</f>
        <v>0</v>
      </c>
      <c r="F1175" s="34"/>
      <c r="G11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5" s="1"/>
    </row>
    <row r="1176" spans="2:8" hidden="1" x14ac:dyDescent="0.25">
      <c r="B1176" s="25" t="str">
        <f>IFERROR(VLOOKUP(tbEquipe[[#This Row],[Nome]],tbFOPAG[[Nome]:[Cargo]],2,0),"&lt;Selecionar Nome&gt;")</f>
        <v>&lt;Selecionar Nome&gt;</v>
      </c>
      <c r="E1176">
        <f>176*tbEquipe[[#This Row],[Alocação]]</f>
        <v>0</v>
      </c>
      <c r="F1176" s="34"/>
      <c r="G11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6" s="1"/>
    </row>
    <row r="1177" spans="2:8" hidden="1" x14ac:dyDescent="0.25">
      <c r="B1177" s="25" t="str">
        <f>IFERROR(VLOOKUP(tbEquipe[[#This Row],[Nome]],tbFOPAG[[Nome]:[Cargo]],2,0),"&lt;Selecionar Nome&gt;")</f>
        <v>&lt;Selecionar Nome&gt;</v>
      </c>
      <c r="E1177">
        <f>176*tbEquipe[[#This Row],[Alocação]]</f>
        <v>0</v>
      </c>
      <c r="F1177" s="34"/>
      <c r="G11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7" s="1"/>
    </row>
    <row r="1178" spans="2:8" hidden="1" x14ac:dyDescent="0.25">
      <c r="B1178" s="25" t="str">
        <f>IFERROR(VLOOKUP(tbEquipe[[#This Row],[Nome]],tbFOPAG[[Nome]:[Cargo]],2,0),"&lt;Selecionar Nome&gt;")</f>
        <v>&lt;Selecionar Nome&gt;</v>
      </c>
      <c r="E1178">
        <f>176*tbEquipe[[#This Row],[Alocação]]</f>
        <v>0</v>
      </c>
      <c r="F1178" s="34"/>
      <c r="G11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8" s="1"/>
    </row>
    <row r="1179" spans="2:8" hidden="1" x14ac:dyDescent="0.25">
      <c r="B1179" s="25" t="str">
        <f>IFERROR(VLOOKUP(tbEquipe[[#This Row],[Nome]],tbFOPAG[[Nome]:[Cargo]],2,0),"&lt;Selecionar Nome&gt;")</f>
        <v>&lt;Selecionar Nome&gt;</v>
      </c>
      <c r="E1179">
        <f>176*tbEquipe[[#This Row],[Alocação]]</f>
        <v>0</v>
      </c>
      <c r="F1179" s="34"/>
      <c r="G11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79" s="1"/>
    </row>
    <row r="1180" spans="2:8" hidden="1" x14ac:dyDescent="0.25">
      <c r="B1180" s="25" t="str">
        <f>IFERROR(VLOOKUP(tbEquipe[[#This Row],[Nome]],tbFOPAG[[Nome]:[Cargo]],2,0),"&lt;Selecionar Nome&gt;")</f>
        <v>&lt;Selecionar Nome&gt;</v>
      </c>
      <c r="E1180">
        <f>176*tbEquipe[[#This Row],[Alocação]]</f>
        <v>0</v>
      </c>
      <c r="F1180" s="34"/>
      <c r="G11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0" s="1"/>
    </row>
    <row r="1181" spans="2:8" hidden="1" x14ac:dyDescent="0.25">
      <c r="B1181" s="25" t="str">
        <f>IFERROR(VLOOKUP(tbEquipe[[#This Row],[Nome]],tbFOPAG[[Nome]:[Cargo]],2,0),"&lt;Selecionar Nome&gt;")</f>
        <v>&lt;Selecionar Nome&gt;</v>
      </c>
      <c r="E1181">
        <f>176*tbEquipe[[#This Row],[Alocação]]</f>
        <v>0</v>
      </c>
      <c r="F1181" s="34"/>
      <c r="G11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1" s="1"/>
    </row>
    <row r="1182" spans="2:8" hidden="1" x14ac:dyDescent="0.25">
      <c r="B1182" s="25" t="str">
        <f>IFERROR(VLOOKUP(tbEquipe[[#This Row],[Nome]],tbFOPAG[[Nome]:[Cargo]],2,0),"&lt;Selecionar Nome&gt;")</f>
        <v>&lt;Selecionar Nome&gt;</v>
      </c>
      <c r="E1182">
        <f>176*tbEquipe[[#This Row],[Alocação]]</f>
        <v>0</v>
      </c>
      <c r="F1182" s="34"/>
      <c r="G11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2" s="1"/>
    </row>
    <row r="1183" spans="2:8" hidden="1" x14ac:dyDescent="0.25">
      <c r="B1183" s="25" t="str">
        <f>IFERROR(VLOOKUP(tbEquipe[[#This Row],[Nome]],tbFOPAG[[Nome]:[Cargo]],2,0),"&lt;Selecionar Nome&gt;")</f>
        <v>&lt;Selecionar Nome&gt;</v>
      </c>
      <c r="E1183">
        <f>176*tbEquipe[[#This Row],[Alocação]]</f>
        <v>0</v>
      </c>
      <c r="F1183" s="34"/>
      <c r="G11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3" s="1"/>
    </row>
    <row r="1184" spans="2:8" hidden="1" x14ac:dyDescent="0.25">
      <c r="B1184" s="25" t="str">
        <f>IFERROR(VLOOKUP(tbEquipe[[#This Row],[Nome]],tbFOPAG[[Nome]:[Cargo]],2,0),"&lt;Selecionar Nome&gt;")</f>
        <v>&lt;Selecionar Nome&gt;</v>
      </c>
      <c r="E1184">
        <f>176*tbEquipe[[#This Row],[Alocação]]</f>
        <v>0</v>
      </c>
      <c r="F1184" s="34"/>
      <c r="G11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4" s="1"/>
    </row>
    <row r="1185" spans="2:8" hidden="1" x14ac:dyDescent="0.25">
      <c r="B1185" s="25" t="str">
        <f>IFERROR(VLOOKUP(tbEquipe[[#This Row],[Nome]],tbFOPAG[[Nome]:[Cargo]],2,0),"&lt;Selecionar Nome&gt;")</f>
        <v>&lt;Selecionar Nome&gt;</v>
      </c>
      <c r="E1185">
        <f>176*tbEquipe[[#This Row],[Alocação]]</f>
        <v>0</v>
      </c>
      <c r="F1185" s="34"/>
      <c r="G11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5" s="1"/>
    </row>
    <row r="1186" spans="2:8" hidden="1" x14ac:dyDescent="0.25">
      <c r="B1186" s="25" t="str">
        <f>IFERROR(VLOOKUP(tbEquipe[[#This Row],[Nome]],tbFOPAG[[Nome]:[Cargo]],2,0),"&lt;Selecionar Nome&gt;")</f>
        <v>&lt;Selecionar Nome&gt;</v>
      </c>
      <c r="E1186">
        <f>176*tbEquipe[[#This Row],[Alocação]]</f>
        <v>0</v>
      </c>
      <c r="F1186" s="34"/>
      <c r="G11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6" s="1"/>
    </row>
    <row r="1187" spans="2:8" hidden="1" x14ac:dyDescent="0.25">
      <c r="B1187" s="25" t="str">
        <f>IFERROR(VLOOKUP(tbEquipe[[#This Row],[Nome]],tbFOPAG[[Nome]:[Cargo]],2,0),"&lt;Selecionar Nome&gt;")</f>
        <v>&lt;Selecionar Nome&gt;</v>
      </c>
      <c r="E1187">
        <f>176*tbEquipe[[#This Row],[Alocação]]</f>
        <v>0</v>
      </c>
      <c r="F1187" s="34"/>
      <c r="G11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7" s="1"/>
    </row>
    <row r="1188" spans="2:8" hidden="1" x14ac:dyDescent="0.25">
      <c r="B1188" s="25" t="str">
        <f>IFERROR(VLOOKUP(tbEquipe[[#This Row],[Nome]],tbFOPAG[[Nome]:[Cargo]],2,0),"&lt;Selecionar Nome&gt;")</f>
        <v>&lt;Selecionar Nome&gt;</v>
      </c>
      <c r="E1188">
        <f>176*tbEquipe[[#This Row],[Alocação]]</f>
        <v>0</v>
      </c>
      <c r="F1188" s="34"/>
      <c r="G11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8" s="1"/>
    </row>
    <row r="1189" spans="2:8" hidden="1" x14ac:dyDescent="0.25">
      <c r="B1189" s="25" t="str">
        <f>IFERROR(VLOOKUP(tbEquipe[[#This Row],[Nome]],tbFOPAG[[Nome]:[Cargo]],2,0),"&lt;Selecionar Nome&gt;")</f>
        <v>&lt;Selecionar Nome&gt;</v>
      </c>
      <c r="E1189">
        <f>176*tbEquipe[[#This Row],[Alocação]]</f>
        <v>0</v>
      </c>
      <c r="F1189" s="34"/>
      <c r="G11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89" s="1"/>
    </row>
    <row r="1190" spans="2:8" hidden="1" x14ac:dyDescent="0.25">
      <c r="B1190" s="25" t="str">
        <f>IFERROR(VLOOKUP(tbEquipe[[#This Row],[Nome]],tbFOPAG[[Nome]:[Cargo]],2,0),"&lt;Selecionar Nome&gt;")</f>
        <v>&lt;Selecionar Nome&gt;</v>
      </c>
      <c r="E1190">
        <f>176*tbEquipe[[#This Row],[Alocação]]</f>
        <v>0</v>
      </c>
      <c r="F1190" s="34"/>
      <c r="G11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0" s="1"/>
    </row>
    <row r="1191" spans="2:8" hidden="1" x14ac:dyDescent="0.25">
      <c r="B1191" s="25" t="str">
        <f>IFERROR(VLOOKUP(tbEquipe[[#This Row],[Nome]],tbFOPAG[[Nome]:[Cargo]],2,0),"&lt;Selecionar Nome&gt;")</f>
        <v>&lt;Selecionar Nome&gt;</v>
      </c>
      <c r="E1191">
        <f>176*tbEquipe[[#This Row],[Alocação]]</f>
        <v>0</v>
      </c>
      <c r="F1191" s="34"/>
      <c r="G11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1" s="1"/>
    </row>
    <row r="1192" spans="2:8" hidden="1" x14ac:dyDescent="0.25">
      <c r="B1192" s="25" t="str">
        <f>IFERROR(VLOOKUP(tbEquipe[[#This Row],[Nome]],tbFOPAG[[Nome]:[Cargo]],2,0),"&lt;Selecionar Nome&gt;")</f>
        <v>&lt;Selecionar Nome&gt;</v>
      </c>
      <c r="E1192">
        <f>176*tbEquipe[[#This Row],[Alocação]]</f>
        <v>0</v>
      </c>
      <c r="F1192" s="34"/>
      <c r="G11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2" s="1"/>
    </row>
    <row r="1193" spans="2:8" hidden="1" x14ac:dyDescent="0.25">
      <c r="B1193" s="25" t="str">
        <f>IFERROR(VLOOKUP(tbEquipe[[#This Row],[Nome]],tbFOPAG[[Nome]:[Cargo]],2,0),"&lt;Selecionar Nome&gt;")</f>
        <v>&lt;Selecionar Nome&gt;</v>
      </c>
      <c r="E1193">
        <f>176*tbEquipe[[#This Row],[Alocação]]</f>
        <v>0</v>
      </c>
      <c r="F1193" s="34"/>
      <c r="G11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3" s="1"/>
    </row>
    <row r="1194" spans="2:8" hidden="1" x14ac:dyDescent="0.25">
      <c r="B1194" s="25" t="str">
        <f>IFERROR(VLOOKUP(tbEquipe[[#This Row],[Nome]],tbFOPAG[[Nome]:[Cargo]],2,0),"&lt;Selecionar Nome&gt;")</f>
        <v>&lt;Selecionar Nome&gt;</v>
      </c>
      <c r="E1194">
        <f>176*tbEquipe[[#This Row],[Alocação]]</f>
        <v>0</v>
      </c>
      <c r="F1194" s="34"/>
      <c r="G11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4" s="1"/>
    </row>
    <row r="1195" spans="2:8" hidden="1" x14ac:dyDescent="0.25">
      <c r="B1195" s="25" t="str">
        <f>IFERROR(VLOOKUP(tbEquipe[[#This Row],[Nome]],tbFOPAG[[Nome]:[Cargo]],2,0),"&lt;Selecionar Nome&gt;")</f>
        <v>&lt;Selecionar Nome&gt;</v>
      </c>
      <c r="E1195">
        <f>176*tbEquipe[[#This Row],[Alocação]]</f>
        <v>0</v>
      </c>
      <c r="F1195" s="34"/>
      <c r="G11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5" s="1"/>
    </row>
    <row r="1196" spans="2:8" hidden="1" x14ac:dyDescent="0.25">
      <c r="B1196" s="25" t="str">
        <f>IFERROR(VLOOKUP(tbEquipe[[#This Row],[Nome]],tbFOPAG[[Nome]:[Cargo]],2,0),"&lt;Selecionar Nome&gt;")</f>
        <v>&lt;Selecionar Nome&gt;</v>
      </c>
      <c r="E1196">
        <f>176*tbEquipe[[#This Row],[Alocação]]</f>
        <v>0</v>
      </c>
      <c r="F1196" s="34"/>
      <c r="G11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6" s="1"/>
    </row>
    <row r="1197" spans="2:8" hidden="1" x14ac:dyDescent="0.25">
      <c r="B1197" s="25" t="str">
        <f>IFERROR(VLOOKUP(tbEquipe[[#This Row],[Nome]],tbFOPAG[[Nome]:[Cargo]],2,0),"&lt;Selecionar Nome&gt;")</f>
        <v>&lt;Selecionar Nome&gt;</v>
      </c>
      <c r="E1197">
        <f>176*tbEquipe[[#This Row],[Alocação]]</f>
        <v>0</v>
      </c>
      <c r="F1197" s="34"/>
      <c r="G11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7" s="1"/>
    </row>
    <row r="1198" spans="2:8" hidden="1" x14ac:dyDescent="0.25">
      <c r="B1198" s="25" t="str">
        <f>IFERROR(VLOOKUP(tbEquipe[[#This Row],[Nome]],tbFOPAG[[Nome]:[Cargo]],2,0),"&lt;Selecionar Nome&gt;")</f>
        <v>&lt;Selecionar Nome&gt;</v>
      </c>
      <c r="E1198">
        <f>176*tbEquipe[[#This Row],[Alocação]]</f>
        <v>0</v>
      </c>
      <c r="F1198" s="34"/>
      <c r="G11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8" s="1"/>
    </row>
    <row r="1199" spans="2:8" hidden="1" x14ac:dyDescent="0.25">
      <c r="B1199" s="25" t="str">
        <f>IFERROR(VLOOKUP(tbEquipe[[#This Row],[Nome]],tbFOPAG[[Nome]:[Cargo]],2,0),"&lt;Selecionar Nome&gt;")</f>
        <v>&lt;Selecionar Nome&gt;</v>
      </c>
      <c r="E1199">
        <f>176*tbEquipe[[#This Row],[Alocação]]</f>
        <v>0</v>
      </c>
      <c r="F1199" s="34"/>
      <c r="G11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199" s="1"/>
    </row>
    <row r="1200" spans="2:8" hidden="1" x14ac:dyDescent="0.25">
      <c r="B1200" s="25" t="str">
        <f>IFERROR(VLOOKUP(tbEquipe[[#This Row],[Nome]],tbFOPAG[[Nome]:[Cargo]],2,0),"&lt;Selecionar Nome&gt;")</f>
        <v>&lt;Selecionar Nome&gt;</v>
      </c>
      <c r="E1200">
        <f>176*tbEquipe[[#This Row],[Alocação]]</f>
        <v>0</v>
      </c>
      <c r="F1200" s="34"/>
      <c r="G12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0" s="1"/>
    </row>
    <row r="1201" spans="2:8" hidden="1" x14ac:dyDescent="0.25">
      <c r="B1201" s="25" t="str">
        <f>IFERROR(VLOOKUP(tbEquipe[[#This Row],[Nome]],tbFOPAG[[Nome]:[Cargo]],2,0),"&lt;Selecionar Nome&gt;")</f>
        <v>&lt;Selecionar Nome&gt;</v>
      </c>
      <c r="E1201">
        <f>176*tbEquipe[[#This Row],[Alocação]]</f>
        <v>0</v>
      </c>
      <c r="F1201" s="34"/>
      <c r="G12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1" s="1"/>
    </row>
    <row r="1202" spans="2:8" hidden="1" x14ac:dyDescent="0.25">
      <c r="B1202" s="25" t="str">
        <f>IFERROR(VLOOKUP(tbEquipe[[#This Row],[Nome]],tbFOPAG[[Nome]:[Cargo]],2,0),"&lt;Selecionar Nome&gt;")</f>
        <v>&lt;Selecionar Nome&gt;</v>
      </c>
      <c r="E1202">
        <f>176*tbEquipe[[#This Row],[Alocação]]</f>
        <v>0</v>
      </c>
      <c r="F1202" s="34"/>
      <c r="G12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2" s="1"/>
    </row>
    <row r="1203" spans="2:8" hidden="1" x14ac:dyDescent="0.25">
      <c r="B1203" s="25" t="str">
        <f>IFERROR(VLOOKUP(tbEquipe[[#This Row],[Nome]],tbFOPAG[[Nome]:[Cargo]],2,0),"&lt;Selecionar Nome&gt;")</f>
        <v>&lt;Selecionar Nome&gt;</v>
      </c>
      <c r="E1203">
        <f>176*tbEquipe[[#This Row],[Alocação]]</f>
        <v>0</v>
      </c>
      <c r="F1203" s="34"/>
      <c r="G12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3" s="1"/>
    </row>
    <row r="1204" spans="2:8" hidden="1" x14ac:dyDescent="0.25">
      <c r="B1204" s="25" t="str">
        <f>IFERROR(VLOOKUP(tbEquipe[[#This Row],[Nome]],tbFOPAG[[Nome]:[Cargo]],2,0),"&lt;Selecionar Nome&gt;")</f>
        <v>&lt;Selecionar Nome&gt;</v>
      </c>
      <c r="E1204">
        <f>176*tbEquipe[[#This Row],[Alocação]]</f>
        <v>0</v>
      </c>
      <c r="F1204" s="34"/>
      <c r="G12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4" s="1"/>
    </row>
    <row r="1205" spans="2:8" hidden="1" x14ac:dyDescent="0.25">
      <c r="B1205" s="25" t="str">
        <f>IFERROR(VLOOKUP(tbEquipe[[#This Row],[Nome]],tbFOPAG[[Nome]:[Cargo]],2,0),"&lt;Selecionar Nome&gt;")</f>
        <v>&lt;Selecionar Nome&gt;</v>
      </c>
      <c r="E1205">
        <f>176*tbEquipe[[#This Row],[Alocação]]</f>
        <v>0</v>
      </c>
      <c r="F1205" s="34"/>
      <c r="G12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5" s="1"/>
    </row>
    <row r="1206" spans="2:8" hidden="1" x14ac:dyDescent="0.25">
      <c r="B1206" s="25" t="str">
        <f>IFERROR(VLOOKUP(tbEquipe[[#This Row],[Nome]],tbFOPAG[[Nome]:[Cargo]],2,0),"&lt;Selecionar Nome&gt;")</f>
        <v>&lt;Selecionar Nome&gt;</v>
      </c>
      <c r="E1206">
        <f>176*tbEquipe[[#This Row],[Alocação]]</f>
        <v>0</v>
      </c>
      <c r="F1206" s="34"/>
      <c r="G12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6" s="1"/>
    </row>
    <row r="1207" spans="2:8" hidden="1" x14ac:dyDescent="0.25">
      <c r="B1207" s="25" t="str">
        <f>IFERROR(VLOOKUP(tbEquipe[[#This Row],[Nome]],tbFOPAG[[Nome]:[Cargo]],2,0),"&lt;Selecionar Nome&gt;")</f>
        <v>&lt;Selecionar Nome&gt;</v>
      </c>
      <c r="E1207">
        <f>176*tbEquipe[[#This Row],[Alocação]]</f>
        <v>0</v>
      </c>
      <c r="F1207" s="34"/>
      <c r="G12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7" s="1"/>
    </row>
    <row r="1208" spans="2:8" hidden="1" x14ac:dyDescent="0.25">
      <c r="B1208" s="25" t="str">
        <f>IFERROR(VLOOKUP(tbEquipe[[#This Row],[Nome]],tbFOPAG[[Nome]:[Cargo]],2,0),"&lt;Selecionar Nome&gt;")</f>
        <v>&lt;Selecionar Nome&gt;</v>
      </c>
      <c r="E1208">
        <f>176*tbEquipe[[#This Row],[Alocação]]</f>
        <v>0</v>
      </c>
      <c r="F1208" s="34"/>
      <c r="G12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8" s="1"/>
    </row>
    <row r="1209" spans="2:8" hidden="1" x14ac:dyDescent="0.25">
      <c r="B1209" s="25" t="str">
        <f>IFERROR(VLOOKUP(tbEquipe[[#This Row],[Nome]],tbFOPAG[[Nome]:[Cargo]],2,0),"&lt;Selecionar Nome&gt;")</f>
        <v>&lt;Selecionar Nome&gt;</v>
      </c>
      <c r="E1209">
        <f>176*tbEquipe[[#This Row],[Alocação]]</f>
        <v>0</v>
      </c>
      <c r="F1209" s="34"/>
      <c r="G12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09" s="1"/>
    </row>
    <row r="1210" spans="2:8" hidden="1" x14ac:dyDescent="0.25">
      <c r="B1210" s="25" t="str">
        <f>IFERROR(VLOOKUP(tbEquipe[[#This Row],[Nome]],tbFOPAG[[Nome]:[Cargo]],2,0),"&lt;Selecionar Nome&gt;")</f>
        <v>&lt;Selecionar Nome&gt;</v>
      </c>
      <c r="E1210">
        <f>176*tbEquipe[[#This Row],[Alocação]]</f>
        <v>0</v>
      </c>
      <c r="F1210" s="34"/>
      <c r="G12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0" s="1"/>
    </row>
    <row r="1211" spans="2:8" hidden="1" x14ac:dyDescent="0.25">
      <c r="B1211" s="25" t="str">
        <f>IFERROR(VLOOKUP(tbEquipe[[#This Row],[Nome]],tbFOPAG[[Nome]:[Cargo]],2,0),"&lt;Selecionar Nome&gt;")</f>
        <v>&lt;Selecionar Nome&gt;</v>
      </c>
      <c r="E1211">
        <f>176*tbEquipe[[#This Row],[Alocação]]</f>
        <v>0</v>
      </c>
      <c r="F1211" s="34"/>
      <c r="G12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1" s="1"/>
    </row>
    <row r="1212" spans="2:8" hidden="1" x14ac:dyDescent="0.25">
      <c r="B1212" s="25" t="str">
        <f>IFERROR(VLOOKUP(tbEquipe[[#This Row],[Nome]],tbFOPAG[[Nome]:[Cargo]],2,0),"&lt;Selecionar Nome&gt;")</f>
        <v>&lt;Selecionar Nome&gt;</v>
      </c>
      <c r="E1212">
        <f>176*tbEquipe[[#This Row],[Alocação]]</f>
        <v>0</v>
      </c>
      <c r="F1212" s="34"/>
      <c r="G12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2" s="1"/>
    </row>
    <row r="1213" spans="2:8" hidden="1" x14ac:dyDescent="0.25">
      <c r="B1213" s="25" t="str">
        <f>IFERROR(VLOOKUP(tbEquipe[[#This Row],[Nome]],tbFOPAG[[Nome]:[Cargo]],2,0),"&lt;Selecionar Nome&gt;")</f>
        <v>&lt;Selecionar Nome&gt;</v>
      </c>
      <c r="E1213">
        <f>176*tbEquipe[[#This Row],[Alocação]]</f>
        <v>0</v>
      </c>
      <c r="F1213" s="34"/>
      <c r="G12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3" s="1"/>
    </row>
    <row r="1214" spans="2:8" hidden="1" x14ac:dyDescent="0.25">
      <c r="B1214" s="25" t="str">
        <f>IFERROR(VLOOKUP(tbEquipe[[#This Row],[Nome]],tbFOPAG[[Nome]:[Cargo]],2,0),"&lt;Selecionar Nome&gt;")</f>
        <v>&lt;Selecionar Nome&gt;</v>
      </c>
      <c r="E1214">
        <f>176*tbEquipe[[#This Row],[Alocação]]</f>
        <v>0</v>
      </c>
      <c r="F1214" s="34"/>
      <c r="G12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4" s="1"/>
    </row>
    <row r="1215" spans="2:8" hidden="1" x14ac:dyDescent="0.25">
      <c r="B1215" s="25" t="str">
        <f>IFERROR(VLOOKUP(tbEquipe[[#This Row],[Nome]],tbFOPAG[[Nome]:[Cargo]],2,0),"&lt;Selecionar Nome&gt;")</f>
        <v>&lt;Selecionar Nome&gt;</v>
      </c>
      <c r="E1215">
        <f>176*tbEquipe[[#This Row],[Alocação]]</f>
        <v>0</v>
      </c>
      <c r="F1215" s="34"/>
      <c r="G12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5" s="1"/>
    </row>
    <row r="1216" spans="2:8" hidden="1" x14ac:dyDescent="0.25">
      <c r="B1216" s="25" t="str">
        <f>IFERROR(VLOOKUP(tbEquipe[[#This Row],[Nome]],tbFOPAG[[Nome]:[Cargo]],2,0),"&lt;Selecionar Nome&gt;")</f>
        <v>&lt;Selecionar Nome&gt;</v>
      </c>
      <c r="E1216">
        <f>176*tbEquipe[[#This Row],[Alocação]]</f>
        <v>0</v>
      </c>
      <c r="F1216" s="34"/>
      <c r="G12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6" s="1"/>
    </row>
    <row r="1217" spans="2:8" hidden="1" x14ac:dyDescent="0.25">
      <c r="B1217" s="25" t="str">
        <f>IFERROR(VLOOKUP(tbEquipe[[#This Row],[Nome]],tbFOPAG[[Nome]:[Cargo]],2,0),"&lt;Selecionar Nome&gt;")</f>
        <v>&lt;Selecionar Nome&gt;</v>
      </c>
      <c r="E1217">
        <f>176*tbEquipe[[#This Row],[Alocação]]</f>
        <v>0</v>
      </c>
      <c r="F1217" s="34"/>
      <c r="G12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7" s="1"/>
    </row>
    <row r="1218" spans="2:8" hidden="1" x14ac:dyDescent="0.25">
      <c r="B1218" s="25" t="str">
        <f>IFERROR(VLOOKUP(tbEquipe[[#This Row],[Nome]],tbFOPAG[[Nome]:[Cargo]],2,0),"&lt;Selecionar Nome&gt;")</f>
        <v>&lt;Selecionar Nome&gt;</v>
      </c>
      <c r="E1218">
        <f>176*tbEquipe[[#This Row],[Alocação]]</f>
        <v>0</v>
      </c>
      <c r="F1218" s="34"/>
      <c r="G12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8" s="1"/>
    </row>
    <row r="1219" spans="2:8" hidden="1" x14ac:dyDescent="0.25">
      <c r="B1219" s="25" t="str">
        <f>IFERROR(VLOOKUP(tbEquipe[[#This Row],[Nome]],tbFOPAG[[Nome]:[Cargo]],2,0),"&lt;Selecionar Nome&gt;")</f>
        <v>&lt;Selecionar Nome&gt;</v>
      </c>
      <c r="E1219">
        <f>176*tbEquipe[[#This Row],[Alocação]]</f>
        <v>0</v>
      </c>
      <c r="F1219" s="34"/>
      <c r="G12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19" s="1"/>
    </row>
    <row r="1220" spans="2:8" hidden="1" x14ac:dyDescent="0.25">
      <c r="B1220" s="25" t="str">
        <f>IFERROR(VLOOKUP(tbEquipe[[#This Row],[Nome]],tbFOPAG[[Nome]:[Cargo]],2,0),"&lt;Selecionar Nome&gt;")</f>
        <v>&lt;Selecionar Nome&gt;</v>
      </c>
      <c r="E1220">
        <f>176*tbEquipe[[#This Row],[Alocação]]</f>
        <v>0</v>
      </c>
      <c r="F1220" s="34"/>
      <c r="G12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0" s="1"/>
    </row>
    <row r="1221" spans="2:8" hidden="1" x14ac:dyDescent="0.25">
      <c r="B1221" s="25" t="str">
        <f>IFERROR(VLOOKUP(tbEquipe[[#This Row],[Nome]],tbFOPAG[[Nome]:[Cargo]],2,0),"&lt;Selecionar Nome&gt;")</f>
        <v>&lt;Selecionar Nome&gt;</v>
      </c>
      <c r="E1221">
        <f>176*tbEquipe[[#This Row],[Alocação]]</f>
        <v>0</v>
      </c>
      <c r="F1221" s="34"/>
      <c r="G12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1" s="1"/>
    </row>
    <row r="1222" spans="2:8" hidden="1" x14ac:dyDescent="0.25">
      <c r="B1222" s="25" t="str">
        <f>IFERROR(VLOOKUP(tbEquipe[[#This Row],[Nome]],tbFOPAG[[Nome]:[Cargo]],2,0),"&lt;Selecionar Nome&gt;")</f>
        <v>&lt;Selecionar Nome&gt;</v>
      </c>
      <c r="E1222">
        <f>176*tbEquipe[[#This Row],[Alocação]]</f>
        <v>0</v>
      </c>
      <c r="F1222" s="34"/>
      <c r="G12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2" s="1"/>
    </row>
    <row r="1223" spans="2:8" hidden="1" x14ac:dyDescent="0.25">
      <c r="B1223" s="25" t="str">
        <f>IFERROR(VLOOKUP(tbEquipe[[#This Row],[Nome]],tbFOPAG[[Nome]:[Cargo]],2,0),"&lt;Selecionar Nome&gt;")</f>
        <v>&lt;Selecionar Nome&gt;</v>
      </c>
      <c r="E1223">
        <f>176*tbEquipe[[#This Row],[Alocação]]</f>
        <v>0</v>
      </c>
      <c r="F1223" s="34"/>
      <c r="G12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3" s="1"/>
    </row>
    <row r="1224" spans="2:8" hidden="1" x14ac:dyDescent="0.25">
      <c r="B1224" s="25" t="str">
        <f>IFERROR(VLOOKUP(tbEquipe[[#This Row],[Nome]],tbFOPAG[[Nome]:[Cargo]],2,0),"&lt;Selecionar Nome&gt;")</f>
        <v>&lt;Selecionar Nome&gt;</v>
      </c>
      <c r="E1224">
        <f>176*tbEquipe[[#This Row],[Alocação]]</f>
        <v>0</v>
      </c>
      <c r="F1224" s="34"/>
      <c r="G12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4" s="1"/>
    </row>
    <row r="1225" spans="2:8" hidden="1" x14ac:dyDescent="0.25">
      <c r="B1225" s="25" t="str">
        <f>IFERROR(VLOOKUP(tbEquipe[[#This Row],[Nome]],tbFOPAG[[Nome]:[Cargo]],2,0),"&lt;Selecionar Nome&gt;")</f>
        <v>&lt;Selecionar Nome&gt;</v>
      </c>
      <c r="E1225">
        <f>176*tbEquipe[[#This Row],[Alocação]]</f>
        <v>0</v>
      </c>
      <c r="F1225" s="34"/>
      <c r="G12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5" s="1"/>
    </row>
    <row r="1226" spans="2:8" hidden="1" x14ac:dyDescent="0.25">
      <c r="B1226" s="25" t="str">
        <f>IFERROR(VLOOKUP(tbEquipe[[#This Row],[Nome]],tbFOPAG[[Nome]:[Cargo]],2,0),"&lt;Selecionar Nome&gt;")</f>
        <v>&lt;Selecionar Nome&gt;</v>
      </c>
      <c r="E1226">
        <f>176*tbEquipe[[#This Row],[Alocação]]</f>
        <v>0</v>
      </c>
      <c r="F1226" s="34"/>
      <c r="G12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6" s="1"/>
    </row>
    <row r="1227" spans="2:8" hidden="1" x14ac:dyDescent="0.25">
      <c r="B1227" s="25" t="str">
        <f>IFERROR(VLOOKUP(tbEquipe[[#This Row],[Nome]],tbFOPAG[[Nome]:[Cargo]],2,0),"&lt;Selecionar Nome&gt;")</f>
        <v>&lt;Selecionar Nome&gt;</v>
      </c>
      <c r="E1227">
        <f>176*tbEquipe[[#This Row],[Alocação]]</f>
        <v>0</v>
      </c>
      <c r="F1227" s="34"/>
      <c r="G12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7" s="1"/>
    </row>
    <row r="1228" spans="2:8" hidden="1" x14ac:dyDescent="0.25">
      <c r="B1228" s="25" t="str">
        <f>IFERROR(VLOOKUP(tbEquipe[[#This Row],[Nome]],tbFOPAG[[Nome]:[Cargo]],2,0),"&lt;Selecionar Nome&gt;")</f>
        <v>&lt;Selecionar Nome&gt;</v>
      </c>
      <c r="E1228">
        <f>176*tbEquipe[[#This Row],[Alocação]]</f>
        <v>0</v>
      </c>
      <c r="F1228" s="34"/>
      <c r="G12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8" s="1"/>
    </row>
    <row r="1229" spans="2:8" hidden="1" x14ac:dyDescent="0.25">
      <c r="B1229" s="25" t="str">
        <f>IFERROR(VLOOKUP(tbEquipe[[#This Row],[Nome]],tbFOPAG[[Nome]:[Cargo]],2,0),"&lt;Selecionar Nome&gt;")</f>
        <v>&lt;Selecionar Nome&gt;</v>
      </c>
      <c r="E1229">
        <f>176*tbEquipe[[#This Row],[Alocação]]</f>
        <v>0</v>
      </c>
      <c r="F1229" s="34"/>
      <c r="G12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29" s="1"/>
    </row>
    <row r="1230" spans="2:8" hidden="1" x14ac:dyDescent="0.25">
      <c r="B1230" s="25" t="str">
        <f>IFERROR(VLOOKUP(tbEquipe[[#This Row],[Nome]],tbFOPAG[[Nome]:[Cargo]],2,0),"&lt;Selecionar Nome&gt;")</f>
        <v>&lt;Selecionar Nome&gt;</v>
      </c>
      <c r="E1230">
        <f>176*tbEquipe[[#This Row],[Alocação]]</f>
        <v>0</v>
      </c>
      <c r="F1230" s="34"/>
      <c r="G12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0" s="1"/>
    </row>
    <row r="1231" spans="2:8" hidden="1" x14ac:dyDescent="0.25">
      <c r="B1231" s="25" t="str">
        <f>IFERROR(VLOOKUP(tbEquipe[[#This Row],[Nome]],tbFOPAG[[Nome]:[Cargo]],2,0),"&lt;Selecionar Nome&gt;")</f>
        <v>&lt;Selecionar Nome&gt;</v>
      </c>
      <c r="E1231">
        <f>176*tbEquipe[[#This Row],[Alocação]]</f>
        <v>0</v>
      </c>
      <c r="F1231" s="34"/>
      <c r="G12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1" s="1"/>
    </row>
    <row r="1232" spans="2:8" hidden="1" x14ac:dyDescent="0.25">
      <c r="B1232" s="25" t="str">
        <f>IFERROR(VLOOKUP(tbEquipe[[#This Row],[Nome]],tbFOPAG[[Nome]:[Cargo]],2,0),"&lt;Selecionar Nome&gt;")</f>
        <v>&lt;Selecionar Nome&gt;</v>
      </c>
      <c r="E1232">
        <f>176*tbEquipe[[#This Row],[Alocação]]</f>
        <v>0</v>
      </c>
      <c r="F1232" s="34"/>
      <c r="G12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2" s="1"/>
    </row>
    <row r="1233" spans="2:8" hidden="1" x14ac:dyDescent="0.25">
      <c r="B1233" s="25" t="str">
        <f>IFERROR(VLOOKUP(tbEquipe[[#This Row],[Nome]],tbFOPAG[[Nome]:[Cargo]],2,0),"&lt;Selecionar Nome&gt;")</f>
        <v>&lt;Selecionar Nome&gt;</v>
      </c>
      <c r="E1233">
        <f>176*tbEquipe[[#This Row],[Alocação]]</f>
        <v>0</v>
      </c>
      <c r="F1233" s="34"/>
      <c r="G12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3" s="1"/>
    </row>
    <row r="1234" spans="2:8" hidden="1" x14ac:dyDescent="0.25">
      <c r="B1234" s="25" t="str">
        <f>IFERROR(VLOOKUP(tbEquipe[[#This Row],[Nome]],tbFOPAG[[Nome]:[Cargo]],2,0),"&lt;Selecionar Nome&gt;")</f>
        <v>&lt;Selecionar Nome&gt;</v>
      </c>
      <c r="E1234">
        <f>176*tbEquipe[[#This Row],[Alocação]]</f>
        <v>0</v>
      </c>
      <c r="F1234" s="34"/>
      <c r="G12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4" s="1"/>
    </row>
    <row r="1235" spans="2:8" hidden="1" x14ac:dyDescent="0.25">
      <c r="B1235" s="25" t="str">
        <f>IFERROR(VLOOKUP(tbEquipe[[#This Row],[Nome]],tbFOPAG[[Nome]:[Cargo]],2,0),"&lt;Selecionar Nome&gt;")</f>
        <v>&lt;Selecionar Nome&gt;</v>
      </c>
      <c r="E1235">
        <f>176*tbEquipe[[#This Row],[Alocação]]</f>
        <v>0</v>
      </c>
      <c r="F1235" s="34"/>
      <c r="G12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5" s="1"/>
    </row>
    <row r="1236" spans="2:8" hidden="1" x14ac:dyDescent="0.25">
      <c r="B1236" s="25" t="str">
        <f>IFERROR(VLOOKUP(tbEquipe[[#This Row],[Nome]],tbFOPAG[[Nome]:[Cargo]],2,0),"&lt;Selecionar Nome&gt;")</f>
        <v>&lt;Selecionar Nome&gt;</v>
      </c>
      <c r="E1236">
        <f>176*tbEquipe[[#This Row],[Alocação]]</f>
        <v>0</v>
      </c>
      <c r="F1236" s="34"/>
      <c r="G12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6" s="1"/>
    </row>
    <row r="1237" spans="2:8" hidden="1" x14ac:dyDescent="0.25">
      <c r="B1237" s="25" t="str">
        <f>IFERROR(VLOOKUP(tbEquipe[[#This Row],[Nome]],tbFOPAG[[Nome]:[Cargo]],2,0),"&lt;Selecionar Nome&gt;")</f>
        <v>&lt;Selecionar Nome&gt;</v>
      </c>
      <c r="E1237">
        <f>176*tbEquipe[[#This Row],[Alocação]]</f>
        <v>0</v>
      </c>
      <c r="F1237" s="34"/>
      <c r="G12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7" s="1"/>
    </row>
    <row r="1238" spans="2:8" hidden="1" x14ac:dyDescent="0.25">
      <c r="B1238" s="25" t="str">
        <f>IFERROR(VLOOKUP(tbEquipe[[#This Row],[Nome]],tbFOPAG[[Nome]:[Cargo]],2,0),"&lt;Selecionar Nome&gt;")</f>
        <v>&lt;Selecionar Nome&gt;</v>
      </c>
      <c r="E1238">
        <f>176*tbEquipe[[#This Row],[Alocação]]</f>
        <v>0</v>
      </c>
      <c r="F1238" s="34"/>
      <c r="G12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8" s="1"/>
    </row>
    <row r="1239" spans="2:8" hidden="1" x14ac:dyDescent="0.25">
      <c r="B1239" s="25" t="str">
        <f>IFERROR(VLOOKUP(tbEquipe[[#This Row],[Nome]],tbFOPAG[[Nome]:[Cargo]],2,0),"&lt;Selecionar Nome&gt;")</f>
        <v>&lt;Selecionar Nome&gt;</v>
      </c>
      <c r="E1239">
        <f>176*tbEquipe[[#This Row],[Alocação]]</f>
        <v>0</v>
      </c>
      <c r="F1239" s="34"/>
      <c r="G12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39" s="1"/>
    </row>
    <row r="1240" spans="2:8" hidden="1" x14ac:dyDescent="0.25">
      <c r="B1240" s="25" t="str">
        <f>IFERROR(VLOOKUP(tbEquipe[[#This Row],[Nome]],tbFOPAG[[Nome]:[Cargo]],2,0),"&lt;Selecionar Nome&gt;")</f>
        <v>&lt;Selecionar Nome&gt;</v>
      </c>
      <c r="E1240">
        <f>176*tbEquipe[[#This Row],[Alocação]]</f>
        <v>0</v>
      </c>
      <c r="F1240" s="34"/>
      <c r="G12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0" s="1"/>
    </row>
    <row r="1241" spans="2:8" hidden="1" x14ac:dyDescent="0.25">
      <c r="B1241" s="25" t="str">
        <f>IFERROR(VLOOKUP(tbEquipe[[#This Row],[Nome]],tbFOPAG[[Nome]:[Cargo]],2,0),"&lt;Selecionar Nome&gt;")</f>
        <v>&lt;Selecionar Nome&gt;</v>
      </c>
      <c r="E1241">
        <f>176*tbEquipe[[#This Row],[Alocação]]</f>
        <v>0</v>
      </c>
      <c r="F1241" s="34"/>
      <c r="G12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1" s="1"/>
    </row>
    <row r="1242" spans="2:8" hidden="1" x14ac:dyDescent="0.25">
      <c r="B1242" s="25" t="str">
        <f>IFERROR(VLOOKUP(tbEquipe[[#This Row],[Nome]],tbFOPAG[[Nome]:[Cargo]],2,0),"&lt;Selecionar Nome&gt;")</f>
        <v>&lt;Selecionar Nome&gt;</v>
      </c>
      <c r="E1242">
        <f>176*tbEquipe[[#This Row],[Alocação]]</f>
        <v>0</v>
      </c>
      <c r="F1242" s="34"/>
      <c r="G12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2" s="1"/>
    </row>
    <row r="1243" spans="2:8" hidden="1" x14ac:dyDescent="0.25">
      <c r="B1243" s="25" t="str">
        <f>IFERROR(VLOOKUP(tbEquipe[[#This Row],[Nome]],tbFOPAG[[Nome]:[Cargo]],2,0),"&lt;Selecionar Nome&gt;")</f>
        <v>&lt;Selecionar Nome&gt;</v>
      </c>
      <c r="E1243">
        <f>176*tbEquipe[[#This Row],[Alocação]]</f>
        <v>0</v>
      </c>
      <c r="F1243" s="34"/>
      <c r="G12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3" s="1"/>
    </row>
    <row r="1244" spans="2:8" hidden="1" x14ac:dyDescent="0.25">
      <c r="B1244" s="25" t="str">
        <f>IFERROR(VLOOKUP(tbEquipe[[#This Row],[Nome]],tbFOPAG[[Nome]:[Cargo]],2,0),"&lt;Selecionar Nome&gt;")</f>
        <v>&lt;Selecionar Nome&gt;</v>
      </c>
      <c r="E1244">
        <f>176*tbEquipe[[#This Row],[Alocação]]</f>
        <v>0</v>
      </c>
      <c r="F1244" s="34"/>
      <c r="G12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4" s="1"/>
    </row>
    <row r="1245" spans="2:8" hidden="1" x14ac:dyDescent="0.25">
      <c r="B1245" s="25" t="str">
        <f>IFERROR(VLOOKUP(tbEquipe[[#This Row],[Nome]],tbFOPAG[[Nome]:[Cargo]],2,0),"&lt;Selecionar Nome&gt;")</f>
        <v>&lt;Selecionar Nome&gt;</v>
      </c>
      <c r="E1245">
        <f>176*tbEquipe[[#This Row],[Alocação]]</f>
        <v>0</v>
      </c>
      <c r="F1245" s="34"/>
      <c r="G12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5" s="1"/>
    </row>
    <row r="1246" spans="2:8" hidden="1" x14ac:dyDescent="0.25">
      <c r="B1246" s="25" t="str">
        <f>IFERROR(VLOOKUP(tbEquipe[[#This Row],[Nome]],tbFOPAG[[Nome]:[Cargo]],2,0),"&lt;Selecionar Nome&gt;")</f>
        <v>&lt;Selecionar Nome&gt;</v>
      </c>
      <c r="E1246">
        <f>176*tbEquipe[[#This Row],[Alocação]]</f>
        <v>0</v>
      </c>
      <c r="F1246" s="34"/>
      <c r="G12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6" s="1"/>
    </row>
    <row r="1247" spans="2:8" hidden="1" x14ac:dyDescent="0.25">
      <c r="B1247" s="25" t="str">
        <f>IFERROR(VLOOKUP(tbEquipe[[#This Row],[Nome]],tbFOPAG[[Nome]:[Cargo]],2,0),"&lt;Selecionar Nome&gt;")</f>
        <v>&lt;Selecionar Nome&gt;</v>
      </c>
      <c r="E1247">
        <f>176*tbEquipe[[#This Row],[Alocação]]</f>
        <v>0</v>
      </c>
      <c r="F1247" s="34"/>
      <c r="G12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7" s="1"/>
    </row>
    <row r="1248" spans="2:8" hidden="1" x14ac:dyDescent="0.25">
      <c r="B1248" s="25" t="str">
        <f>IFERROR(VLOOKUP(tbEquipe[[#This Row],[Nome]],tbFOPAG[[Nome]:[Cargo]],2,0),"&lt;Selecionar Nome&gt;")</f>
        <v>&lt;Selecionar Nome&gt;</v>
      </c>
      <c r="E1248">
        <f>176*tbEquipe[[#This Row],[Alocação]]</f>
        <v>0</v>
      </c>
      <c r="F1248" s="34"/>
      <c r="G12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8" s="1"/>
    </row>
    <row r="1249" spans="2:8" hidden="1" x14ac:dyDescent="0.25">
      <c r="B1249" s="25" t="str">
        <f>IFERROR(VLOOKUP(tbEquipe[[#This Row],[Nome]],tbFOPAG[[Nome]:[Cargo]],2,0),"&lt;Selecionar Nome&gt;")</f>
        <v>&lt;Selecionar Nome&gt;</v>
      </c>
      <c r="E1249">
        <f>176*tbEquipe[[#This Row],[Alocação]]</f>
        <v>0</v>
      </c>
      <c r="F1249" s="34"/>
      <c r="G12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49" s="1"/>
    </row>
    <row r="1250" spans="2:8" hidden="1" x14ac:dyDescent="0.25">
      <c r="B1250" s="25" t="str">
        <f>IFERROR(VLOOKUP(tbEquipe[[#This Row],[Nome]],tbFOPAG[[Nome]:[Cargo]],2,0),"&lt;Selecionar Nome&gt;")</f>
        <v>&lt;Selecionar Nome&gt;</v>
      </c>
      <c r="E1250">
        <f>176*tbEquipe[[#This Row],[Alocação]]</f>
        <v>0</v>
      </c>
      <c r="F1250" s="34"/>
      <c r="G12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0" s="1"/>
    </row>
    <row r="1251" spans="2:8" hidden="1" x14ac:dyDescent="0.25">
      <c r="B1251" s="25" t="str">
        <f>IFERROR(VLOOKUP(tbEquipe[[#This Row],[Nome]],tbFOPAG[[Nome]:[Cargo]],2,0),"&lt;Selecionar Nome&gt;")</f>
        <v>&lt;Selecionar Nome&gt;</v>
      </c>
      <c r="E1251">
        <f>176*tbEquipe[[#This Row],[Alocação]]</f>
        <v>0</v>
      </c>
      <c r="F1251" s="34"/>
      <c r="G12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1" s="1"/>
    </row>
    <row r="1252" spans="2:8" hidden="1" x14ac:dyDescent="0.25">
      <c r="B1252" s="25" t="str">
        <f>IFERROR(VLOOKUP(tbEquipe[[#This Row],[Nome]],tbFOPAG[[Nome]:[Cargo]],2,0),"&lt;Selecionar Nome&gt;")</f>
        <v>&lt;Selecionar Nome&gt;</v>
      </c>
      <c r="E1252">
        <f>176*tbEquipe[[#This Row],[Alocação]]</f>
        <v>0</v>
      </c>
      <c r="F1252" s="34"/>
      <c r="G12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2" s="1"/>
    </row>
    <row r="1253" spans="2:8" hidden="1" x14ac:dyDescent="0.25">
      <c r="B1253" s="25" t="str">
        <f>IFERROR(VLOOKUP(tbEquipe[[#This Row],[Nome]],tbFOPAG[[Nome]:[Cargo]],2,0),"&lt;Selecionar Nome&gt;")</f>
        <v>&lt;Selecionar Nome&gt;</v>
      </c>
      <c r="E1253">
        <f>176*tbEquipe[[#This Row],[Alocação]]</f>
        <v>0</v>
      </c>
      <c r="F1253" s="34"/>
      <c r="G12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3" s="1"/>
    </row>
    <row r="1254" spans="2:8" hidden="1" x14ac:dyDescent="0.25">
      <c r="B1254" s="25" t="str">
        <f>IFERROR(VLOOKUP(tbEquipe[[#This Row],[Nome]],tbFOPAG[[Nome]:[Cargo]],2,0),"&lt;Selecionar Nome&gt;")</f>
        <v>&lt;Selecionar Nome&gt;</v>
      </c>
      <c r="E1254">
        <f>176*tbEquipe[[#This Row],[Alocação]]</f>
        <v>0</v>
      </c>
      <c r="F1254" s="34"/>
      <c r="G12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4" s="1"/>
    </row>
    <row r="1255" spans="2:8" hidden="1" x14ac:dyDescent="0.25">
      <c r="B1255" s="25" t="str">
        <f>IFERROR(VLOOKUP(tbEquipe[[#This Row],[Nome]],tbFOPAG[[Nome]:[Cargo]],2,0),"&lt;Selecionar Nome&gt;")</f>
        <v>&lt;Selecionar Nome&gt;</v>
      </c>
      <c r="E1255">
        <f>176*tbEquipe[[#This Row],[Alocação]]</f>
        <v>0</v>
      </c>
      <c r="F1255" s="34"/>
      <c r="G12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5" s="1"/>
    </row>
    <row r="1256" spans="2:8" hidden="1" x14ac:dyDescent="0.25">
      <c r="B1256" s="25" t="str">
        <f>IFERROR(VLOOKUP(tbEquipe[[#This Row],[Nome]],tbFOPAG[[Nome]:[Cargo]],2,0),"&lt;Selecionar Nome&gt;")</f>
        <v>&lt;Selecionar Nome&gt;</v>
      </c>
      <c r="E1256">
        <f>176*tbEquipe[[#This Row],[Alocação]]</f>
        <v>0</v>
      </c>
      <c r="F1256" s="34"/>
      <c r="G12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6" s="1"/>
    </row>
    <row r="1257" spans="2:8" hidden="1" x14ac:dyDescent="0.25">
      <c r="B1257" s="25" t="str">
        <f>IFERROR(VLOOKUP(tbEquipe[[#This Row],[Nome]],tbFOPAG[[Nome]:[Cargo]],2,0),"&lt;Selecionar Nome&gt;")</f>
        <v>&lt;Selecionar Nome&gt;</v>
      </c>
      <c r="E1257">
        <f>176*tbEquipe[[#This Row],[Alocação]]</f>
        <v>0</v>
      </c>
      <c r="F1257" s="34"/>
      <c r="G12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7" s="1"/>
    </row>
    <row r="1258" spans="2:8" hidden="1" x14ac:dyDescent="0.25">
      <c r="B1258" s="25" t="str">
        <f>IFERROR(VLOOKUP(tbEquipe[[#This Row],[Nome]],tbFOPAG[[Nome]:[Cargo]],2,0),"&lt;Selecionar Nome&gt;")</f>
        <v>&lt;Selecionar Nome&gt;</v>
      </c>
      <c r="E1258">
        <f>176*tbEquipe[[#This Row],[Alocação]]</f>
        <v>0</v>
      </c>
      <c r="F1258" s="34"/>
      <c r="G12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8" s="1"/>
    </row>
    <row r="1259" spans="2:8" hidden="1" x14ac:dyDescent="0.25">
      <c r="B1259" s="25" t="str">
        <f>IFERROR(VLOOKUP(tbEquipe[[#This Row],[Nome]],tbFOPAG[[Nome]:[Cargo]],2,0),"&lt;Selecionar Nome&gt;")</f>
        <v>&lt;Selecionar Nome&gt;</v>
      </c>
      <c r="E1259">
        <f>176*tbEquipe[[#This Row],[Alocação]]</f>
        <v>0</v>
      </c>
      <c r="F1259" s="34"/>
      <c r="G12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59" s="1"/>
    </row>
    <row r="1260" spans="2:8" hidden="1" x14ac:dyDescent="0.25">
      <c r="B1260" s="25" t="str">
        <f>IFERROR(VLOOKUP(tbEquipe[[#This Row],[Nome]],tbFOPAG[[Nome]:[Cargo]],2,0),"&lt;Selecionar Nome&gt;")</f>
        <v>&lt;Selecionar Nome&gt;</v>
      </c>
      <c r="E1260">
        <f>176*tbEquipe[[#This Row],[Alocação]]</f>
        <v>0</v>
      </c>
      <c r="F1260" s="34"/>
      <c r="G12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0" s="1"/>
    </row>
    <row r="1261" spans="2:8" hidden="1" x14ac:dyDescent="0.25">
      <c r="B1261" s="25" t="str">
        <f>IFERROR(VLOOKUP(tbEquipe[[#This Row],[Nome]],tbFOPAG[[Nome]:[Cargo]],2,0),"&lt;Selecionar Nome&gt;")</f>
        <v>&lt;Selecionar Nome&gt;</v>
      </c>
      <c r="E1261">
        <f>176*tbEquipe[[#This Row],[Alocação]]</f>
        <v>0</v>
      </c>
      <c r="F1261" s="34"/>
      <c r="G12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1" s="1"/>
    </row>
    <row r="1262" spans="2:8" hidden="1" x14ac:dyDescent="0.25">
      <c r="B1262" s="25" t="str">
        <f>IFERROR(VLOOKUP(tbEquipe[[#This Row],[Nome]],tbFOPAG[[Nome]:[Cargo]],2,0),"&lt;Selecionar Nome&gt;")</f>
        <v>&lt;Selecionar Nome&gt;</v>
      </c>
      <c r="E1262">
        <f>176*tbEquipe[[#This Row],[Alocação]]</f>
        <v>0</v>
      </c>
      <c r="F1262" s="34"/>
      <c r="G12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2" s="1"/>
    </row>
    <row r="1263" spans="2:8" hidden="1" x14ac:dyDescent="0.25">
      <c r="B1263" s="25" t="str">
        <f>IFERROR(VLOOKUP(tbEquipe[[#This Row],[Nome]],tbFOPAG[[Nome]:[Cargo]],2,0),"&lt;Selecionar Nome&gt;")</f>
        <v>&lt;Selecionar Nome&gt;</v>
      </c>
      <c r="E1263">
        <f>176*tbEquipe[[#This Row],[Alocação]]</f>
        <v>0</v>
      </c>
      <c r="F1263" s="34"/>
      <c r="G12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3" s="1"/>
    </row>
    <row r="1264" spans="2:8" hidden="1" x14ac:dyDescent="0.25">
      <c r="B1264" s="25" t="str">
        <f>IFERROR(VLOOKUP(tbEquipe[[#This Row],[Nome]],tbFOPAG[[Nome]:[Cargo]],2,0),"&lt;Selecionar Nome&gt;")</f>
        <v>&lt;Selecionar Nome&gt;</v>
      </c>
      <c r="E1264">
        <f>176*tbEquipe[[#This Row],[Alocação]]</f>
        <v>0</v>
      </c>
      <c r="F1264" s="34"/>
      <c r="G12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4" s="1"/>
    </row>
    <row r="1265" spans="2:8" hidden="1" x14ac:dyDescent="0.25">
      <c r="B1265" s="25" t="str">
        <f>IFERROR(VLOOKUP(tbEquipe[[#This Row],[Nome]],tbFOPAG[[Nome]:[Cargo]],2,0),"&lt;Selecionar Nome&gt;")</f>
        <v>&lt;Selecionar Nome&gt;</v>
      </c>
      <c r="E1265">
        <f>176*tbEquipe[[#This Row],[Alocação]]</f>
        <v>0</v>
      </c>
      <c r="F1265" s="34"/>
      <c r="G12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5" s="1"/>
    </row>
    <row r="1266" spans="2:8" hidden="1" x14ac:dyDescent="0.25">
      <c r="B1266" s="25" t="str">
        <f>IFERROR(VLOOKUP(tbEquipe[[#This Row],[Nome]],tbFOPAG[[Nome]:[Cargo]],2,0),"&lt;Selecionar Nome&gt;")</f>
        <v>&lt;Selecionar Nome&gt;</v>
      </c>
      <c r="E1266">
        <f>176*tbEquipe[[#This Row],[Alocação]]</f>
        <v>0</v>
      </c>
      <c r="F1266" s="34"/>
      <c r="G12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6" s="1"/>
    </row>
    <row r="1267" spans="2:8" hidden="1" x14ac:dyDescent="0.25">
      <c r="B1267" s="25" t="str">
        <f>IFERROR(VLOOKUP(tbEquipe[[#This Row],[Nome]],tbFOPAG[[Nome]:[Cargo]],2,0),"&lt;Selecionar Nome&gt;")</f>
        <v>&lt;Selecionar Nome&gt;</v>
      </c>
      <c r="E1267">
        <f>176*tbEquipe[[#This Row],[Alocação]]</f>
        <v>0</v>
      </c>
      <c r="F1267" s="34"/>
      <c r="G12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7" s="1"/>
    </row>
    <row r="1268" spans="2:8" hidden="1" x14ac:dyDescent="0.25">
      <c r="B1268" s="25" t="str">
        <f>IFERROR(VLOOKUP(tbEquipe[[#This Row],[Nome]],tbFOPAG[[Nome]:[Cargo]],2,0),"&lt;Selecionar Nome&gt;")</f>
        <v>&lt;Selecionar Nome&gt;</v>
      </c>
      <c r="E1268">
        <f>176*tbEquipe[[#This Row],[Alocação]]</f>
        <v>0</v>
      </c>
      <c r="F1268" s="34"/>
      <c r="G12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8" s="1"/>
    </row>
    <row r="1269" spans="2:8" hidden="1" x14ac:dyDescent="0.25">
      <c r="B1269" s="25" t="str">
        <f>IFERROR(VLOOKUP(tbEquipe[[#This Row],[Nome]],tbFOPAG[[Nome]:[Cargo]],2,0),"&lt;Selecionar Nome&gt;")</f>
        <v>&lt;Selecionar Nome&gt;</v>
      </c>
      <c r="E1269">
        <f>176*tbEquipe[[#This Row],[Alocação]]</f>
        <v>0</v>
      </c>
      <c r="F1269" s="34"/>
      <c r="G12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69" s="1"/>
    </row>
    <row r="1270" spans="2:8" hidden="1" x14ac:dyDescent="0.25">
      <c r="B1270" s="25" t="str">
        <f>IFERROR(VLOOKUP(tbEquipe[[#This Row],[Nome]],tbFOPAG[[Nome]:[Cargo]],2,0),"&lt;Selecionar Nome&gt;")</f>
        <v>&lt;Selecionar Nome&gt;</v>
      </c>
      <c r="E1270">
        <f>176*tbEquipe[[#This Row],[Alocação]]</f>
        <v>0</v>
      </c>
      <c r="F1270" s="34"/>
      <c r="G12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0" s="1"/>
    </row>
    <row r="1271" spans="2:8" hidden="1" x14ac:dyDescent="0.25">
      <c r="B1271" s="25" t="str">
        <f>IFERROR(VLOOKUP(tbEquipe[[#This Row],[Nome]],tbFOPAG[[Nome]:[Cargo]],2,0),"&lt;Selecionar Nome&gt;")</f>
        <v>&lt;Selecionar Nome&gt;</v>
      </c>
      <c r="E1271">
        <f>176*tbEquipe[[#This Row],[Alocação]]</f>
        <v>0</v>
      </c>
      <c r="F1271" s="34"/>
      <c r="G12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1" s="1"/>
    </row>
    <row r="1272" spans="2:8" hidden="1" x14ac:dyDescent="0.25">
      <c r="B1272" s="25" t="str">
        <f>IFERROR(VLOOKUP(tbEquipe[[#This Row],[Nome]],tbFOPAG[[Nome]:[Cargo]],2,0),"&lt;Selecionar Nome&gt;")</f>
        <v>&lt;Selecionar Nome&gt;</v>
      </c>
      <c r="E1272">
        <f>176*tbEquipe[[#This Row],[Alocação]]</f>
        <v>0</v>
      </c>
      <c r="F1272" s="34"/>
      <c r="G12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2" s="1"/>
    </row>
    <row r="1273" spans="2:8" hidden="1" x14ac:dyDescent="0.25">
      <c r="B1273" s="25" t="str">
        <f>IFERROR(VLOOKUP(tbEquipe[[#This Row],[Nome]],tbFOPAG[[Nome]:[Cargo]],2,0),"&lt;Selecionar Nome&gt;")</f>
        <v>&lt;Selecionar Nome&gt;</v>
      </c>
      <c r="E1273">
        <f>176*tbEquipe[[#This Row],[Alocação]]</f>
        <v>0</v>
      </c>
      <c r="F1273" s="34"/>
      <c r="G12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3" s="1"/>
    </row>
    <row r="1274" spans="2:8" hidden="1" x14ac:dyDescent="0.25">
      <c r="B1274" s="25" t="str">
        <f>IFERROR(VLOOKUP(tbEquipe[[#This Row],[Nome]],tbFOPAG[[Nome]:[Cargo]],2,0),"&lt;Selecionar Nome&gt;")</f>
        <v>&lt;Selecionar Nome&gt;</v>
      </c>
      <c r="E1274">
        <f>176*tbEquipe[[#This Row],[Alocação]]</f>
        <v>0</v>
      </c>
      <c r="F1274" s="34"/>
      <c r="G12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4" s="1"/>
    </row>
    <row r="1275" spans="2:8" hidden="1" x14ac:dyDescent="0.25">
      <c r="B1275" s="25" t="str">
        <f>IFERROR(VLOOKUP(tbEquipe[[#This Row],[Nome]],tbFOPAG[[Nome]:[Cargo]],2,0),"&lt;Selecionar Nome&gt;")</f>
        <v>&lt;Selecionar Nome&gt;</v>
      </c>
      <c r="E1275">
        <f>176*tbEquipe[[#This Row],[Alocação]]</f>
        <v>0</v>
      </c>
      <c r="F1275" s="34"/>
      <c r="G12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5" s="1"/>
    </row>
    <row r="1276" spans="2:8" hidden="1" x14ac:dyDescent="0.25">
      <c r="B1276" s="25" t="str">
        <f>IFERROR(VLOOKUP(tbEquipe[[#This Row],[Nome]],tbFOPAG[[Nome]:[Cargo]],2,0),"&lt;Selecionar Nome&gt;")</f>
        <v>&lt;Selecionar Nome&gt;</v>
      </c>
      <c r="E1276">
        <f>176*tbEquipe[[#This Row],[Alocação]]</f>
        <v>0</v>
      </c>
      <c r="F1276" s="34"/>
      <c r="G12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6" s="1"/>
    </row>
    <row r="1277" spans="2:8" hidden="1" x14ac:dyDescent="0.25">
      <c r="B1277" s="25" t="str">
        <f>IFERROR(VLOOKUP(tbEquipe[[#This Row],[Nome]],tbFOPAG[[Nome]:[Cargo]],2,0),"&lt;Selecionar Nome&gt;")</f>
        <v>&lt;Selecionar Nome&gt;</v>
      </c>
      <c r="E1277">
        <f>176*tbEquipe[[#This Row],[Alocação]]</f>
        <v>0</v>
      </c>
      <c r="F1277" s="34"/>
      <c r="G12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7" s="1"/>
    </row>
    <row r="1278" spans="2:8" hidden="1" x14ac:dyDescent="0.25">
      <c r="B1278" s="25" t="str">
        <f>IFERROR(VLOOKUP(tbEquipe[[#This Row],[Nome]],tbFOPAG[[Nome]:[Cargo]],2,0),"&lt;Selecionar Nome&gt;")</f>
        <v>&lt;Selecionar Nome&gt;</v>
      </c>
      <c r="E1278">
        <f>176*tbEquipe[[#This Row],[Alocação]]</f>
        <v>0</v>
      </c>
      <c r="F1278" s="34"/>
      <c r="G12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8" s="1"/>
    </row>
    <row r="1279" spans="2:8" hidden="1" x14ac:dyDescent="0.25">
      <c r="B1279" s="25" t="str">
        <f>IFERROR(VLOOKUP(tbEquipe[[#This Row],[Nome]],tbFOPAG[[Nome]:[Cargo]],2,0),"&lt;Selecionar Nome&gt;")</f>
        <v>&lt;Selecionar Nome&gt;</v>
      </c>
      <c r="E1279">
        <f>176*tbEquipe[[#This Row],[Alocação]]</f>
        <v>0</v>
      </c>
      <c r="F1279" s="34"/>
      <c r="G12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79" s="1"/>
    </row>
    <row r="1280" spans="2:8" hidden="1" x14ac:dyDescent="0.25">
      <c r="B1280" s="25" t="str">
        <f>IFERROR(VLOOKUP(tbEquipe[[#This Row],[Nome]],tbFOPAG[[Nome]:[Cargo]],2,0),"&lt;Selecionar Nome&gt;")</f>
        <v>&lt;Selecionar Nome&gt;</v>
      </c>
      <c r="E1280">
        <f>176*tbEquipe[[#This Row],[Alocação]]</f>
        <v>0</v>
      </c>
      <c r="F1280" s="34"/>
      <c r="G12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0" s="1"/>
    </row>
    <row r="1281" spans="2:8" hidden="1" x14ac:dyDescent="0.25">
      <c r="B1281" s="25" t="str">
        <f>IFERROR(VLOOKUP(tbEquipe[[#This Row],[Nome]],tbFOPAG[[Nome]:[Cargo]],2,0),"&lt;Selecionar Nome&gt;")</f>
        <v>&lt;Selecionar Nome&gt;</v>
      </c>
      <c r="E1281">
        <f>176*tbEquipe[[#This Row],[Alocação]]</f>
        <v>0</v>
      </c>
      <c r="F1281" s="34"/>
      <c r="G12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1" s="1"/>
    </row>
    <row r="1282" spans="2:8" hidden="1" x14ac:dyDescent="0.25">
      <c r="B1282" s="25" t="str">
        <f>IFERROR(VLOOKUP(tbEquipe[[#This Row],[Nome]],tbFOPAG[[Nome]:[Cargo]],2,0),"&lt;Selecionar Nome&gt;")</f>
        <v>&lt;Selecionar Nome&gt;</v>
      </c>
      <c r="E1282">
        <f>176*tbEquipe[[#This Row],[Alocação]]</f>
        <v>0</v>
      </c>
      <c r="F1282" s="34"/>
      <c r="G12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2" s="1"/>
    </row>
    <row r="1283" spans="2:8" hidden="1" x14ac:dyDescent="0.25">
      <c r="B1283" s="25" t="str">
        <f>IFERROR(VLOOKUP(tbEquipe[[#This Row],[Nome]],tbFOPAG[[Nome]:[Cargo]],2,0),"&lt;Selecionar Nome&gt;")</f>
        <v>&lt;Selecionar Nome&gt;</v>
      </c>
      <c r="E1283">
        <f>176*tbEquipe[[#This Row],[Alocação]]</f>
        <v>0</v>
      </c>
      <c r="F1283" s="34"/>
      <c r="G12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3" s="1"/>
    </row>
    <row r="1284" spans="2:8" hidden="1" x14ac:dyDescent="0.25">
      <c r="B1284" s="25" t="str">
        <f>IFERROR(VLOOKUP(tbEquipe[[#This Row],[Nome]],tbFOPAG[[Nome]:[Cargo]],2,0),"&lt;Selecionar Nome&gt;")</f>
        <v>&lt;Selecionar Nome&gt;</v>
      </c>
      <c r="E1284">
        <f>176*tbEquipe[[#This Row],[Alocação]]</f>
        <v>0</v>
      </c>
      <c r="F1284" s="34"/>
      <c r="G12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4" s="1"/>
    </row>
    <row r="1285" spans="2:8" hidden="1" x14ac:dyDescent="0.25">
      <c r="B1285" s="25" t="str">
        <f>IFERROR(VLOOKUP(tbEquipe[[#This Row],[Nome]],tbFOPAG[[Nome]:[Cargo]],2,0),"&lt;Selecionar Nome&gt;")</f>
        <v>&lt;Selecionar Nome&gt;</v>
      </c>
      <c r="E1285">
        <f>176*tbEquipe[[#This Row],[Alocação]]</f>
        <v>0</v>
      </c>
      <c r="F1285" s="34"/>
      <c r="G12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5" s="1"/>
    </row>
    <row r="1286" spans="2:8" hidden="1" x14ac:dyDescent="0.25">
      <c r="B1286" s="25" t="str">
        <f>IFERROR(VLOOKUP(tbEquipe[[#This Row],[Nome]],tbFOPAG[[Nome]:[Cargo]],2,0),"&lt;Selecionar Nome&gt;")</f>
        <v>&lt;Selecionar Nome&gt;</v>
      </c>
      <c r="E1286">
        <f>176*tbEquipe[[#This Row],[Alocação]]</f>
        <v>0</v>
      </c>
      <c r="F1286" s="34"/>
      <c r="G12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6" s="1"/>
    </row>
    <row r="1287" spans="2:8" hidden="1" x14ac:dyDescent="0.25">
      <c r="B1287" s="25" t="str">
        <f>IFERROR(VLOOKUP(tbEquipe[[#This Row],[Nome]],tbFOPAG[[Nome]:[Cargo]],2,0),"&lt;Selecionar Nome&gt;")</f>
        <v>&lt;Selecionar Nome&gt;</v>
      </c>
      <c r="E1287">
        <f>176*tbEquipe[[#This Row],[Alocação]]</f>
        <v>0</v>
      </c>
      <c r="F1287" s="34"/>
      <c r="G12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7" s="1"/>
    </row>
    <row r="1288" spans="2:8" hidden="1" x14ac:dyDescent="0.25">
      <c r="B1288" s="25" t="str">
        <f>IFERROR(VLOOKUP(tbEquipe[[#This Row],[Nome]],tbFOPAG[[Nome]:[Cargo]],2,0),"&lt;Selecionar Nome&gt;")</f>
        <v>&lt;Selecionar Nome&gt;</v>
      </c>
      <c r="E1288">
        <f>176*tbEquipe[[#This Row],[Alocação]]</f>
        <v>0</v>
      </c>
      <c r="F1288" s="34"/>
      <c r="G12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8" s="1"/>
    </row>
    <row r="1289" spans="2:8" hidden="1" x14ac:dyDescent="0.25">
      <c r="B1289" s="25" t="str">
        <f>IFERROR(VLOOKUP(tbEquipe[[#This Row],[Nome]],tbFOPAG[[Nome]:[Cargo]],2,0),"&lt;Selecionar Nome&gt;")</f>
        <v>&lt;Selecionar Nome&gt;</v>
      </c>
      <c r="E1289">
        <f>176*tbEquipe[[#This Row],[Alocação]]</f>
        <v>0</v>
      </c>
      <c r="F1289" s="34"/>
      <c r="G12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89" s="1"/>
    </row>
    <row r="1290" spans="2:8" hidden="1" x14ac:dyDescent="0.25">
      <c r="B1290" s="25" t="str">
        <f>IFERROR(VLOOKUP(tbEquipe[[#This Row],[Nome]],tbFOPAG[[Nome]:[Cargo]],2,0),"&lt;Selecionar Nome&gt;")</f>
        <v>&lt;Selecionar Nome&gt;</v>
      </c>
      <c r="E1290">
        <f>176*tbEquipe[[#This Row],[Alocação]]</f>
        <v>0</v>
      </c>
      <c r="F1290" s="34"/>
      <c r="G12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0" s="1"/>
    </row>
    <row r="1291" spans="2:8" hidden="1" x14ac:dyDescent="0.25">
      <c r="B1291" s="25" t="str">
        <f>IFERROR(VLOOKUP(tbEquipe[[#This Row],[Nome]],tbFOPAG[[Nome]:[Cargo]],2,0),"&lt;Selecionar Nome&gt;")</f>
        <v>&lt;Selecionar Nome&gt;</v>
      </c>
      <c r="E1291">
        <f>176*tbEquipe[[#This Row],[Alocação]]</f>
        <v>0</v>
      </c>
      <c r="F1291" s="34"/>
      <c r="G12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1" s="1"/>
    </row>
    <row r="1292" spans="2:8" hidden="1" x14ac:dyDescent="0.25">
      <c r="B1292" s="25" t="str">
        <f>IFERROR(VLOOKUP(tbEquipe[[#This Row],[Nome]],tbFOPAG[[Nome]:[Cargo]],2,0),"&lt;Selecionar Nome&gt;")</f>
        <v>&lt;Selecionar Nome&gt;</v>
      </c>
      <c r="E1292">
        <f>176*tbEquipe[[#This Row],[Alocação]]</f>
        <v>0</v>
      </c>
      <c r="F1292" s="34"/>
      <c r="G12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2" s="1"/>
    </row>
    <row r="1293" spans="2:8" hidden="1" x14ac:dyDescent="0.25">
      <c r="B1293" s="25" t="str">
        <f>IFERROR(VLOOKUP(tbEquipe[[#This Row],[Nome]],tbFOPAG[[Nome]:[Cargo]],2,0),"&lt;Selecionar Nome&gt;")</f>
        <v>&lt;Selecionar Nome&gt;</v>
      </c>
      <c r="E1293">
        <f>176*tbEquipe[[#This Row],[Alocação]]</f>
        <v>0</v>
      </c>
      <c r="F1293" s="34"/>
      <c r="G12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3" s="1"/>
    </row>
    <row r="1294" spans="2:8" hidden="1" x14ac:dyDescent="0.25">
      <c r="B1294" s="25" t="str">
        <f>IFERROR(VLOOKUP(tbEquipe[[#This Row],[Nome]],tbFOPAG[[Nome]:[Cargo]],2,0),"&lt;Selecionar Nome&gt;")</f>
        <v>&lt;Selecionar Nome&gt;</v>
      </c>
      <c r="E1294">
        <f>176*tbEquipe[[#This Row],[Alocação]]</f>
        <v>0</v>
      </c>
      <c r="F1294" s="34"/>
      <c r="G12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4" s="1"/>
    </row>
    <row r="1295" spans="2:8" hidden="1" x14ac:dyDescent="0.25">
      <c r="B1295" s="25" t="str">
        <f>IFERROR(VLOOKUP(tbEquipe[[#This Row],[Nome]],tbFOPAG[[Nome]:[Cargo]],2,0),"&lt;Selecionar Nome&gt;")</f>
        <v>&lt;Selecionar Nome&gt;</v>
      </c>
      <c r="E1295">
        <f>176*tbEquipe[[#This Row],[Alocação]]</f>
        <v>0</v>
      </c>
      <c r="F1295" s="34"/>
      <c r="G12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5" s="1"/>
    </row>
    <row r="1296" spans="2:8" hidden="1" x14ac:dyDescent="0.25">
      <c r="B1296" s="25" t="str">
        <f>IFERROR(VLOOKUP(tbEquipe[[#This Row],[Nome]],tbFOPAG[[Nome]:[Cargo]],2,0),"&lt;Selecionar Nome&gt;")</f>
        <v>&lt;Selecionar Nome&gt;</v>
      </c>
      <c r="E1296">
        <f>176*tbEquipe[[#This Row],[Alocação]]</f>
        <v>0</v>
      </c>
      <c r="F1296" s="34"/>
      <c r="G12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6" s="1"/>
    </row>
    <row r="1297" spans="2:8" hidden="1" x14ac:dyDescent="0.25">
      <c r="B1297" s="25" t="str">
        <f>IFERROR(VLOOKUP(tbEquipe[[#This Row],[Nome]],tbFOPAG[[Nome]:[Cargo]],2,0),"&lt;Selecionar Nome&gt;")</f>
        <v>&lt;Selecionar Nome&gt;</v>
      </c>
      <c r="E1297">
        <f>176*tbEquipe[[#This Row],[Alocação]]</f>
        <v>0</v>
      </c>
      <c r="F1297" s="34"/>
      <c r="G12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7" s="1"/>
    </row>
    <row r="1298" spans="2:8" hidden="1" x14ac:dyDescent="0.25">
      <c r="B1298" s="25" t="str">
        <f>IFERROR(VLOOKUP(tbEquipe[[#This Row],[Nome]],tbFOPAG[[Nome]:[Cargo]],2,0),"&lt;Selecionar Nome&gt;")</f>
        <v>&lt;Selecionar Nome&gt;</v>
      </c>
      <c r="E1298">
        <f>176*tbEquipe[[#This Row],[Alocação]]</f>
        <v>0</v>
      </c>
      <c r="F1298" s="34"/>
      <c r="G12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8" s="1"/>
    </row>
    <row r="1299" spans="2:8" hidden="1" x14ac:dyDescent="0.25">
      <c r="B1299" s="25" t="str">
        <f>IFERROR(VLOOKUP(tbEquipe[[#This Row],[Nome]],tbFOPAG[[Nome]:[Cargo]],2,0),"&lt;Selecionar Nome&gt;")</f>
        <v>&lt;Selecionar Nome&gt;</v>
      </c>
      <c r="E1299">
        <f>176*tbEquipe[[#This Row],[Alocação]]</f>
        <v>0</v>
      </c>
      <c r="F1299" s="34"/>
      <c r="G12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299" s="1"/>
    </row>
    <row r="1300" spans="2:8" hidden="1" x14ac:dyDescent="0.25">
      <c r="B1300" s="25" t="str">
        <f>IFERROR(VLOOKUP(tbEquipe[[#This Row],[Nome]],tbFOPAG[[Nome]:[Cargo]],2,0),"&lt;Selecionar Nome&gt;")</f>
        <v>&lt;Selecionar Nome&gt;</v>
      </c>
      <c r="E1300">
        <f>176*tbEquipe[[#This Row],[Alocação]]</f>
        <v>0</v>
      </c>
      <c r="F1300" s="34"/>
      <c r="G13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0" s="1"/>
    </row>
    <row r="1301" spans="2:8" hidden="1" x14ac:dyDescent="0.25">
      <c r="B1301" s="25" t="str">
        <f>IFERROR(VLOOKUP(tbEquipe[[#This Row],[Nome]],tbFOPAG[[Nome]:[Cargo]],2,0),"&lt;Selecionar Nome&gt;")</f>
        <v>&lt;Selecionar Nome&gt;</v>
      </c>
      <c r="E1301">
        <f>176*tbEquipe[[#This Row],[Alocação]]</f>
        <v>0</v>
      </c>
      <c r="F1301" s="34"/>
      <c r="G13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1" s="1"/>
    </row>
    <row r="1302" spans="2:8" hidden="1" x14ac:dyDescent="0.25">
      <c r="B1302" s="25" t="str">
        <f>IFERROR(VLOOKUP(tbEquipe[[#This Row],[Nome]],tbFOPAG[[Nome]:[Cargo]],2,0),"&lt;Selecionar Nome&gt;")</f>
        <v>&lt;Selecionar Nome&gt;</v>
      </c>
      <c r="E1302">
        <f>176*tbEquipe[[#This Row],[Alocação]]</f>
        <v>0</v>
      </c>
      <c r="F1302" s="34"/>
      <c r="G13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2" s="1"/>
    </row>
    <row r="1303" spans="2:8" hidden="1" x14ac:dyDescent="0.25">
      <c r="B1303" s="25" t="str">
        <f>IFERROR(VLOOKUP(tbEquipe[[#This Row],[Nome]],tbFOPAG[[Nome]:[Cargo]],2,0),"&lt;Selecionar Nome&gt;")</f>
        <v>&lt;Selecionar Nome&gt;</v>
      </c>
      <c r="E1303">
        <f>176*tbEquipe[[#This Row],[Alocação]]</f>
        <v>0</v>
      </c>
      <c r="F1303" s="34"/>
      <c r="G13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3" s="1"/>
    </row>
    <row r="1304" spans="2:8" hidden="1" x14ac:dyDescent="0.25">
      <c r="B1304" s="25" t="str">
        <f>IFERROR(VLOOKUP(tbEquipe[[#This Row],[Nome]],tbFOPAG[[Nome]:[Cargo]],2,0),"&lt;Selecionar Nome&gt;")</f>
        <v>&lt;Selecionar Nome&gt;</v>
      </c>
      <c r="E1304">
        <f>176*tbEquipe[[#This Row],[Alocação]]</f>
        <v>0</v>
      </c>
      <c r="F1304" s="34"/>
      <c r="G13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4" s="1"/>
    </row>
    <row r="1305" spans="2:8" hidden="1" x14ac:dyDescent="0.25">
      <c r="B1305" s="25" t="str">
        <f>IFERROR(VLOOKUP(tbEquipe[[#This Row],[Nome]],tbFOPAG[[Nome]:[Cargo]],2,0),"&lt;Selecionar Nome&gt;")</f>
        <v>&lt;Selecionar Nome&gt;</v>
      </c>
      <c r="E1305">
        <f>176*tbEquipe[[#This Row],[Alocação]]</f>
        <v>0</v>
      </c>
      <c r="F1305" s="34"/>
      <c r="G13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5" s="1"/>
    </row>
    <row r="1306" spans="2:8" hidden="1" x14ac:dyDescent="0.25">
      <c r="B1306" s="25" t="str">
        <f>IFERROR(VLOOKUP(tbEquipe[[#This Row],[Nome]],tbFOPAG[[Nome]:[Cargo]],2,0),"&lt;Selecionar Nome&gt;")</f>
        <v>&lt;Selecionar Nome&gt;</v>
      </c>
      <c r="E1306">
        <f>176*tbEquipe[[#This Row],[Alocação]]</f>
        <v>0</v>
      </c>
      <c r="F1306" s="34"/>
      <c r="G13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6" s="1"/>
    </row>
    <row r="1307" spans="2:8" hidden="1" x14ac:dyDescent="0.25">
      <c r="B1307" s="25" t="str">
        <f>IFERROR(VLOOKUP(tbEquipe[[#This Row],[Nome]],tbFOPAG[[Nome]:[Cargo]],2,0),"&lt;Selecionar Nome&gt;")</f>
        <v>&lt;Selecionar Nome&gt;</v>
      </c>
      <c r="E1307">
        <f>176*tbEquipe[[#This Row],[Alocação]]</f>
        <v>0</v>
      </c>
      <c r="F1307" s="34"/>
      <c r="G13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7" s="1"/>
    </row>
    <row r="1308" spans="2:8" hidden="1" x14ac:dyDescent="0.25">
      <c r="B1308" s="25" t="str">
        <f>IFERROR(VLOOKUP(tbEquipe[[#This Row],[Nome]],tbFOPAG[[Nome]:[Cargo]],2,0),"&lt;Selecionar Nome&gt;")</f>
        <v>&lt;Selecionar Nome&gt;</v>
      </c>
      <c r="E1308">
        <f>176*tbEquipe[[#This Row],[Alocação]]</f>
        <v>0</v>
      </c>
      <c r="F1308" s="34"/>
      <c r="G13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8" s="1"/>
    </row>
    <row r="1309" spans="2:8" hidden="1" x14ac:dyDescent="0.25">
      <c r="B1309" s="25" t="str">
        <f>IFERROR(VLOOKUP(tbEquipe[[#This Row],[Nome]],tbFOPAG[[Nome]:[Cargo]],2,0),"&lt;Selecionar Nome&gt;")</f>
        <v>&lt;Selecionar Nome&gt;</v>
      </c>
      <c r="E1309">
        <f>176*tbEquipe[[#This Row],[Alocação]]</f>
        <v>0</v>
      </c>
      <c r="F1309" s="34"/>
      <c r="G13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09" s="1"/>
    </row>
    <row r="1310" spans="2:8" hidden="1" x14ac:dyDescent="0.25">
      <c r="B1310" s="25" t="str">
        <f>IFERROR(VLOOKUP(tbEquipe[[#This Row],[Nome]],tbFOPAG[[Nome]:[Cargo]],2,0),"&lt;Selecionar Nome&gt;")</f>
        <v>&lt;Selecionar Nome&gt;</v>
      </c>
      <c r="E1310">
        <f>176*tbEquipe[[#This Row],[Alocação]]</f>
        <v>0</v>
      </c>
      <c r="F1310" s="34"/>
      <c r="G13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0" s="1"/>
    </row>
    <row r="1311" spans="2:8" hidden="1" x14ac:dyDescent="0.25">
      <c r="B1311" s="25" t="str">
        <f>IFERROR(VLOOKUP(tbEquipe[[#This Row],[Nome]],tbFOPAG[[Nome]:[Cargo]],2,0),"&lt;Selecionar Nome&gt;")</f>
        <v>&lt;Selecionar Nome&gt;</v>
      </c>
      <c r="E1311">
        <f>176*tbEquipe[[#This Row],[Alocação]]</f>
        <v>0</v>
      </c>
      <c r="F1311" s="34"/>
      <c r="G13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1" s="1"/>
    </row>
    <row r="1312" spans="2:8" hidden="1" x14ac:dyDescent="0.25">
      <c r="B1312" s="25" t="str">
        <f>IFERROR(VLOOKUP(tbEquipe[[#This Row],[Nome]],tbFOPAG[[Nome]:[Cargo]],2,0),"&lt;Selecionar Nome&gt;")</f>
        <v>&lt;Selecionar Nome&gt;</v>
      </c>
      <c r="E1312">
        <f>176*tbEquipe[[#This Row],[Alocação]]</f>
        <v>0</v>
      </c>
      <c r="F1312" s="34"/>
      <c r="G13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2" s="1"/>
    </row>
    <row r="1313" spans="2:8" hidden="1" x14ac:dyDescent="0.25">
      <c r="B1313" s="25" t="str">
        <f>IFERROR(VLOOKUP(tbEquipe[[#This Row],[Nome]],tbFOPAG[[Nome]:[Cargo]],2,0),"&lt;Selecionar Nome&gt;")</f>
        <v>&lt;Selecionar Nome&gt;</v>
      </c>
      <c r="E1313">
        <f>176*tbEquipe[[#This Row],[Alocação]]</f>
        <v>0</v>
      </c>
      <c r="F1313" s="34"/>
      <c r="G13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3" s="1"/>
    </row>
    <row r="1314" spans="2:8" hidden="1" x14ac:dyDescent="0.25">
      <c r="B1314" s="25" t="str">
        <f>IFERROR(VLOOKUP(tbEquipe[[#This Row],[Nome]],tbFOPAG[[Nome]:[Cargo]],2,0),"&lt;Selecionar Nome&gt;")</f>
        <v>&lt;Selecionar Nome&gt;</v>
      </c>
      <c r="E1314">
        <f>176*tbEquipe[[#This Row],[Alocação]]</f>
        <v>0</v>
      </c>
      <c r="F1314" s="34"/>
      <c r="G13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4" s="1"/>
    </row>
    <row r="1315" spans="2:8" hidden="1" x14ac:dyDescent="0.25">
      <c r="B1315" s="25" t="str">
        <f>IFERROR(VLOOKUP(tbEquipe[[#This Row],[Nome]],tbFOPAG[[Nome]:[Cargo]],2,0),"&lt;Selecionar Nome&gt;")</f>
        <v>&lt;Selecionar Nome&gt;</v>
      </c>
      <c r="E1315">
        <f>176*tbEquipe[[#This Row],[Alocação]]</f>
        <v>0</v>
      </c>
      <c r="F1315" s="34"/>
      <c r="G13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5" s="1"/>
    </row>
    <row r="1316" spans="2:8" hidden="1" x14ac:dyDescent="0.25">
      <c r="B1316" s="25" t="str">
        <f>IFERROR(VLOOKUP(tbEquipe[[#This Row],[Nome]],tbFOPAG[[Nome]:[Cargo]],2,0),"&lt;Selecionar Nome&gt;")</f>
        <v>&lt;Selecionar Nome&gt;</v>
      </c>
      <c r="E1316">
        <f>176*tbEquipe[[#This Row],[Alocação]]</f>
        <v>0</v>
      </c>
      <c r="F1316" s="34"/>
      <c r="G13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6" s="1"/>
    </row>
    <row r="1317" spans="2:8" hidden="1" x14ac:dyDescent="0.25">
      <c r="B1317" s="25" t="str">
        <f>IFERROR(VLOOKUP(tbEquipe[[#This Row],[Nome]],tbFOPAG[[Nome]:[Cargo]],2,0),"&lt;Selecionar Nome&gt;")</f>
        <v>&lt;Selecionar Nome&gt;</v>
      </c>
      <c r="E1317">
        <f>176*tbEquipe[[#This Row],[Alocação]]</f>
        <v>0</v>
      </c>
      <c r="F1317" s="34"/>
      <c r="G13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7" s="1"/>
    </row>
    <row r="1318" spans="2:8" hidden="1" x14ac:dyDescent="0.25">
      <c r="B1318" s="25" t="str">
        <f>IFERROR(VLOOKUP(tbEquipe[[#This Row],[Nome]],tbFOPAG[[Nome]:[Cargo]],2,0),"&lt;Selecionar Nome&gt;")</f>
        <v>&lt;Selecionar Nome&gt;</v>
      </c>
      <c r="E1318">
        <f>176*tbEquipe[[#This Row],[Alocação]]</f>
        <v>0</v>
      </c>
      <c r="F1318" s="34"/>
      <c r="G13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8" s="1"/>
    </row>
    <row r="1319" spans="2:8" hidden="1" x14ac:dyDescent="0.25">
      <c r="B1319" s="25" t="str">
        <f>IFERROR(VLOOKUP(tbEquipe[[#This Row],[Nome]],tbFOPAG[[Nome]:[Cargo]],2,0),"&lt;Selecionar Nome&gt;")</f>
        <v>&lt;Selecionar Nome&gt;</v>
      </c>
      <c r="E1319">
        <f>176*tbEquipe[[#This Row],[Alocação]]</f>
        <v>0</v>
      </c>
      <c r="F1319" s="34"/>
      <c r="G13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19" s="1"/>
    </row>
    <row r="1320" spans="2:8" hidden="1" x14ac:dyDescent="0.25">
      <c r="B1320" s="25" t="str">
        <f>IFERROR(VLOOKUP(tbEquipe[[#This Row],[Nome]],tbFOPAG[[Nome]:[Cargo]],2,0),"&lt;Selecionar Nome&gt;")</f>
        <v>&lt;Selecionar Nome&gt;</v>
      </c>
      <c r="E1320">
        <f>176*tbEquipe[[#This Row],[Alocação]]</f>
        <v>0</v>
      </c>
      <c r="F1320" s="34"/>
      <c r="G13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0" s="1"/>
    </row>
    <row r="1321" spans="2:8" hidden="1" x14ac:dyDescent="0.25">
      <c r="B1321" s="25" t="str">
        <f>IFERROR(VLOOKUP(tbEquipe[[#This Row],[Nome]],tbFOPAG[[Nome]:[Cargo]],2,0),"&lt;Selecionar Nome&gt;")</f>
        <v>&lt;Selecionar Nome&gt;</v>
      </c>
      <c r="E1321">
        <f>176*tbEquipe[[#This Row],[Alocação]]</f>
        <v>0</v>
      </c>
      <c r="F1321" s="34"/>
      <c r="G13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1" s="1"/>
    </row>
    <row r="1322" spans="2:8" hidden="1" x14ac:dyDescent="0.25">
      <c r="B1322" s="25" t="str">
        <f>IFERROR(VLOOKUP(tbEquipe[[#This Row],[Nome]],tbFOPAG[[Nome]:[Cargo]],2,0),"&lt;Selecionar Nome&gt;")</f>
        <v>&lt;Selecionar Nome&gt;</v>
      </c>
      <c r="E1322">
        <f>176*tbEquipe[[#This Row],[Alocação]]</f>
        <v>0</v>
      </c>
      <c r="F1322" s="34"/>
      <c r="G13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2" s="1"/>
    </row>
    <row r="1323" spans="2:8" hidden="1" x14ac:dyDescent="0.25">
      <c r="B1323" s="25" t="str">
        <f>IFERROR(VLOOKUP(tbEquipe[[#This Row],[Nome]],tbFOPAG[[Nome]:[Cargo]],2,0),"&lt;Selecionar Nome&gt;")</f>
        <v>&lt;Selecionar Nome&gt;</v>
      </c>
      <c r="E1323">
        <f>176*tbEquipe[[#This Row],[Alocação]]</f>
        <v>0</v>
      </c>
      <c r="F1323" s="34"/>
      <c r="G13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3" s="1"/>
    </row>
    <row r="1324" spans="2:8" hidden="1" x14ac:dyDescent="0.25">
      <c r="B1324" s="25" t="str">
        <f>IFERROR(VLOOKUP(tbEquipe[[#This Row],[Nome]],tbFOPAG[[Nome]:[Cargo]],2,0),"&lt;Selecionar Nome&gt;")</f>
        <v>&lt;Selecionar Nome&gt;</v>
      </c>
      <c r="E1324">
        <f>176*tbEquipe[[#This Row],[Alocação]]</f>
        <v>0</v>
      </c>
      <c r="F1324" s="34"/>
      <c r="G13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4" s="1"/>
    </row>
    <row r="1325" spans="2:8" hidden="1" x14ac:dyDescent="0.25">
      <c r="B1325" s="25" t="str">
        <f>IFERROR(VLOOKUP(tbEquipe[[#This Row],[Nome]],tbFOPAG[[Nome]:[Cargo]],2,0),"&lt;Selecionar Nome&gt;")</f>
        <v>&lt;Selecionar Nome&gt;</v>
      </c>
      <c r="E1325">
        <f>176*tbEquipe[[#This Row],[Alocação]]</f>
        <v>0</v>
      </c>
      <c r="F1325" s="34"/>
      <c r="G13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5" s="1"/>
    </row>
    <row r="1326" spans="2:8" hidden="1" x14ac:dyDescent="0.25">
      <c r="B1326" s="25" t="str">
        <f>IFERROR(VLOOKUP(tbEquipe[[#This Row],[Nome]],tbFOPAG[[Nome]:[Cargo]],2,0),"&lt;Selecionar Nome&gt;")</f>
        <v>&lt;Selecionar Nome&gt;</v>
      </c>
      <c r="E1326">
        <f>176*tbEquipe[[#This Row],[Alocação]]</f>
        <v>0</v>
      </c>
      <c r="F1326" s="34"/>
      <c r="G13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6" s="1"/>
    </row>
    <row r="1327" spans="2:8" hidden="1" x14ac:dyDescent="0.25">
      <c r="B1327" s="25" t="str">
        <f>IFERROR(VLOOKUP(tbEquipe[[#This Row],[Nome]],tbFOPAG[[Nome]:[Cargo]],2,0),"&lt;Selecionar Nome&gt;")</f>
        <v>&lt;Selecionar Nome&gt;</v>
      </c>
      <c r="E1327">
        <f>176*tbEquipe[[#This Row],[Alocação]]</f>
        <v>0</v>
      </c>
      <c r="F1327" s="34"/>
      <c r="G13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7" s="1"/>
    </row>
    <row r="1328" spans="2:8" hidden="1" x14ac:dyDescent="0.25">
      <c r="B1328" s="25" t="str">
        <f>IFERROR(VLOOKUP(tbEquipe[[#This Row],[Nome]],tbFOPAG[[Nome]:[Cargo]],2,0),"&lt;Selecionar Nome&gt;")</f>
        <v>&lt;Selecionar Nome&gt;</v>
      </c>
      <c r="E1328">
        <f>176*tbEquipe[[#This Row],[Alocação]]</f>
        <v>0</v>
      </c>
      <c r="F1328" s="34"/>
      <c r="G13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8" s="1"/>
    </row>
    <row r="1329" spans="2:8" hidden="1" x14ac:dyDescent="0.25">
      <c r="B1329" s="25" t="str">
        <f>IFERROR(VLOOKUP(tbEquipe[[#This Row],[Nome]],tbFOPAG[[Nome]:[Cargo]],2,0),"&lt;Selecionar Nome&gt;")</f>
        <v>&lt;Selecionar Nome&gt;</v>
      </c>
      <c r="E1329">
        <f>176*tbEquipe[[#This Row],[Alocação]]</f>
        <v>0</v>
      </c>
      <c r="F1329" s="34"/>
      <c r="G13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29" s="1"/>
    </row>
    <row r="1330" spans="2:8" hidden="1" x14ac:dyDescent="0.25">
      <c r="B1330" s="25" t="str">
        <f>IFERROR(VLOOKUP(tbEquipe[[#This Row],[Nome]],tbFOPAG[[Nome]:[Cargo]],2,0),"&lt;Selecionar Nome&gt;")</f>
        <v>&lt;Selecionar Nome&gt;</v>
      </c>
      <c r="E1330">
        <f>176*tbEquipe[[#This Row],[Alocação]]</f>
        <v>0</v>
      </c>
      <c r="F1330" s="34"/>
      <c r="G13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0" s="1"/>
    </row>
    <row r="1331" spans="2:8" hidden="1" x14ac:dyDescent="0.25">
      <c r="B1331" s="25" t="str">
        <f>IFERROR(VLOOKUP(tbEquipe[[#This Row],[Nome]],tbFOPAG[[Nome]:[Cargo]],2,0),"&lt;Selecionar Nome&gt;")</f>
        <v>&lt;Selecionar Nome&gt;</v>
      </c>
      <c r="E1331">
        <f>176*tbEquipe[[#This Row],[Alocação]]</f>
        <v>0</v>
      </c>
      <c r="F1331" s="34"/>
      <c r="G13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1" s="1"/>
    </row>
    <row r="1332" spans="2:8" hidden="1" x14ac:dyDescent="0.25">
      <c r="B1332" s="25" t="str">
        <f>IFERROR(VLOOKUP(tbEquipe[[#This Row],[Nome]],tbFOPAG[[Nome]:[Cargo]],2,0),"&lt;Selecionar Nome&gt;")</f>
        <v>&lt;Selecionar Nome&gt;</v>
      </c>
      <c r="E1332">
        <f>176*tbEquipe[[#This Row],[Alocação]]</f>
        <v>0</v>
      </c>
      <c r="F1332" s="34"/>
      <c r="G13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2" s="1"/>
    </row>
    <row r="1333" spans="2:8" hidden="1" x14ac:dyDescent="0.25">
      <c r="B1333" s="25" t="str">
        <f>IFERROR(VLOOKUP(tbEquipe[[#This Row],[Nome]],tbFOPAG[[Nome]:[Cargo]],2,0),"&lt;Selecionar Nome&gt;")</f>
        <v>&lt;Selecionar Nome&gt;</v>
      </c>
      <c r="E1333">
        <f>176*tbEquipe[[#This Row],[Alocação]]</f>
        <v>0</v>
      </c>
      <c r="F1333" s="34"/>
      <c r="G13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3" s="1"/>
    </row>
    <row r="1334" spans="2:8" hidden="1" x14ac:dyDescent="0.25">
      <c r="B1334" s="25" t="str">
        <f>IFERROR(VLOOKUP(tbEquipe[[#This Row],[Nome]],tbFOPAG[[Nome]:[Cargo]],2,0),"&lt;Selecionar Nome&gt;")</f>
        <v>&lt;Selecionar Nome&gt;</v>
      </c>
      <c r="E1334">
        <f>176*tbEquipe[[#This Row],[Alocação]]</f>
        <v>0</v>
      </c>
      <c r="F1334" s="34"/>
      <c r="G13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4" s="1"/>
    </row>
    <row r="1335" spans="2:8" hidden="1" x14ac:dyDescent="0.25">
      <c r="B1335" s="25" t="str">
        <f>IFERROR(VLOOKUP(tbEquipe[[#This Row],[Nome]],tbFOPAG[[Nome]:[Cargo]],2,0),"&lt;Selecionar Nome&gt;")</f>
        <v>&lt;Selecionar Nome&gt;</v>
      </c>
      <c r="E1335">
        <f>176*tbEquipe[[#This Row],[Alocação]]</f>
        <v>0</v>
      </c>
      <c r="F1335" s="34"/>
      <c r="G13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5" s="1"/>
    </row>
    <row r="1336" spans="2:8" hidden="1" x14ac:dyDescent="0.25">
      <c r="B1336" s="25" t="str">
        <f>IFERROR(VLOOKUP(tbEquipe[[#This Row],[Nome]],tbFOPAG[[Nome]:[Cargo]],2,0),"&lt;Selecionar Nome&gt;")</f>
        <v>&lt;Selecionar Nome&gt;</v>
      </c>
      <c r="E1336">
        <f>176*tbEquipe[[#This Row],[Alocação]]</f>
        <v>0</v>
      </c>
      <c r="F1336" s="34"/>
      <c r="G13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6" s="1"/>
    </row>
    <row r="1337" spans="2:8" hidden="1" x14ac:dyDescent="0.25">
      <c r="B1337" s="25" t="str">
        <f>IFERROR(VLOOKUP(tbEquipe[[#This Row],[Nome]],tbFOPAG[[Nome]:[Cargo]],2,0),"&lt;Selecionar Nome&gt;")</f>
        <v>&lt;Selecionar Nome&gt;</v>
      </c>
      <c r="E1337">
        <f>176*tbEquipe[[#This Row],[Alocação]]</f>
        <v>0</v>
      </c>
      <c r="F1337" s="34"/>
      <c r="G13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7" s="1"/>
    </row>
    <row r="1338" spans="2:8" hidden="1" x14ac:dyDescent="0.25">
      <c r="B1338" s="25" t="str">
        <f>IFERROR(VLOOKUP(tbEquipe[[#This Row],[Nome]],tbFOPAG[[Nome]:[Cargo]],2,0),"&lt;Selecionar Nome&gt;")</f>
        <v>&lt;Selecionar Nome&gt;</v>
      </c>
      <c r="E1338">
        <f>176*tbEquipe[[#This Row],[Alocação]]</f>
        <v>0</v>
      </c>
      <c r="F1338" s="34"/>
      <c r="G13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8" s="1"/>
    </row>
    <row r="1339" spans="2:8" hidden="1" x14ac:dyDescent="0.25">
      <c r="B1339" s="25" t="str">
        <f>IFERROR(VLOOKUP(tbEquipe[[#This Row],[Nome]],tbFOPAG[[Nome]:[Cargo]],2,0),"&lt;Selecionar Nome&gt;")</f>
        <v>&lt;Selecionar Nome&gt;</v>
      </c>
      <c r="E1339">
        <f>176*tbEquipe[[#This Row],[Alocação]]</f>
        <v>0</v>
      </c>
      <c r="F1339" s="34"/>
      <c r="G13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39" s="1"/>
    </row>
    <row r="1340" spans="2:8" hidden="1" x14ac:dyDescent="0.25">
      <c r="B1340" s="25" t="str">
        <f>IFERROR(VLOOKUP(tbEquipe[[#This Row],[Nome]],tbFOPAG[[Nome]:[Cargo]],2,0),"&lt;Selecionar Nome&gt;")</f>
        <v>&lt;Selecionar Nome&gt;</v>
      </c>
      <c r="E1340">
        <f>176*tbEquipe[[#This Row],[Alocação]]</f>
        <v>0</v>
      </c>
      <c r="F1340" s="34"/>
      <c r="G13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0" s="1"/>
    </row>
    <row r="1341" spans="2:8" hidden="1" x14ac:dyDescent="0.25">
      <c r="B1341" s="25" t="str">
        <f>IFERROR(VLOOKUP(tbEquipe[[#This Row],[Nome]],tbFOPAG[[Nome]:[Cargo]],2,0),"&lt;Selecionar Nome&gt;")</f>
        <v>&lt;Selecionar Nome&gt;</v>
      </c>
      <c r="E1341">
        <f>176*tbEquipe[[#This Row],[Alocação]]</f>
        <v>0</v>
      </c>
      <c r="F1341" s="34"/>
      <c r="G13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1" s="1"/>
    </row>
    <row r="1342" spans="2:8" hidden="1" x14ac:dyDescent="0.25">
      <c r="B1342" s="25" t="str">
        <f>IFERROR(VLOOKUP(tbEquipe[[#This Row],[Nome]],tbFOPAG[[Nome]:[Cargo]],2,0),"&lt;Selecionar Nome&gt;")</f>
        <v>&lt;Selecionar Nome&gt;</v>
      </c>
      <c r="E1342">
        <f>176*tbEquipe[[#This Row],[Alocação]]</f>
        <v>0</v>
      </c>
      <c r="F1342" s="34"/>
      <c r="G13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2" s="1"/>
    </row>
    <row r="1343" spans="2:8" hidden="1" x14ac:dyDescent="0.25">
      <c r="B1343" s="25" t="str">
        <f>IFERROR(VLOOKUP(tbEquipe[[#This Row],[Nome]],tbFOPAG[[Nome]:[Cargo]],2,0),"&lt;Selecionar Nome&gt;")</f>
        <v>&lt;Selecionar Nome&gt;</v>
      </c>
      <c r="E1343">
        <f>176*tbEquipe[[#This Row],[Alocação]]</f>
        <v>0</v>
      </c>
      <c r="F1343" s="34"/>
      <c r="G13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3" s="1"/>
    </row>
    <row r="1344" spans="2:8" hidden="1" x14ac:dyDescent="0.25">
      <c r="B1344" s="25" t="str">
        <f>IFERROR(VLOOKUP(tbEquipe[[#This Row],[Nome]],tbFOPAG[[Nome]:[Cargo]],2,0),"&lt;Selecionar Nome&gt;")</f>
        <v>&lt;Selecionar Nome&gt;</v>
      </c>
      <c r="E1344">
        <f>176*tbEquipe[[#This Row],[Alocação]]</f>
        <v>0</v>
      </c>
      <c r="F1344" s="34"/>
      <c r="G13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4" s="1"/>
    </row>
    <row r="1345" spans="2:8" hidden="1" x14ac:dyDescent="0.25">
      <c r="B1345" s="25" t="str">
        <f>IFERROR(VLOOKUP(tbEquipe[[#This Row],[Nome]],tbFOPAG[[Nome]:[Cargo]],2,0),"&lt;Selecionar Nome&gt;")</f>
        <v>&lt;Selecionar Nome&gt;</v>
      </c>
      <c r="E1345">
        <f>176*tbEquipe[[#This Row],[Alocação]]</f>
        <v>0</v>
      </c>
      <c r="F1345" s="34"/>
      <c r="G13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5" s="1"/>
    </row>
    <row r="1346" spans="2:8" hidden="1" x14ac:dyDescent="0.25">
      <c r="B1346" s="25" t="str">
        <f>IFERROR(VLOOKUP(tbEquipe[[#This Row],[Nome]],tbFOPAG[[Nome]:[Cargo]],2,0),"&lt;Selecionar Nome&gt;")</f>
        <v>&lt;Selecionar Nome&gt;</v>
      </c>
      <c r="E1346">
        <f>176*tbEquipe[[#This Row],[Alocação]]</f>
        <v>0</v>
      </c>
      <c r="F1346" s="34"/>
      <c r="G13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6" s="1"/>
    </row>
    <row r="1347" spans="2:8" hidden="1" x14ac:dyDescent="0.25">
      <c r="B1347" s="25" t="str">
        <f>IFERROR(VLOOKUP(tbEquipe[[#This Row],[Nome]],tbFOPAG[[Nome]:[Cargo]],2,0),"&lt;Selecionar Nome&gt;")</f>
        <v>&lt;Selecionar Nome&gt;</v>
      </c>
      <c r="E1347">
        <f>176*tbEquipe[[#This Row],[Alocação]]</f>
        <v>0</v>
      </c>
      <c r="F1347" s="34"/>
      <c r="G13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7" s="1"/>
    </row>
    <row r="1348" spans="2:8" hidden="1" x14ac:dyDescent="0.25">
      <c r="B1348" s="25" t="str">
        <f>IFERROR(VLOOKUP(tbEquipe[[#This Row],[Nome]],tbFOPAG[[Nome]:[Cargo]],2,0),"&lt;Selecionar Nome&gt;")</f>
        <v>&lt;Selecionar Nome&gt;</v>
      </c>
      <c r="E1348">
        <f>176*tbEquipe[[#This Row],[Alocação]]</f>
        <v>0</v>
      </c>
      <c r="F1348" s="34"/>
      <c r="G13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8" s="1"/>
    </row>
    <row r="1349" spans="2:8" hidden="1" x14ac:dyDescent="0.25">
      <c r="B1349" s="25" t="str">
        <f>IFERROR(VLOOKUP(tbEquipe[[#This Row],[Nome]],tbFOPAG[[Nome]:[Cargo]],2,0),"&lt;Selecionar Nome&gt;")</f>
        <v>&lt;Selecionar Nome&gt;</v>
      </c>
      <c r="E1349">
        <f>176*tbEquipe[[#This Row],[Alocação]]</f>
        <v>0</v>
      </c>
      <c r="F1349" s="34"/>
      <c r="G13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49" s="1"/>
    </row>
    <row r="1350" spans="2:8" hidden="1" x14ac:dyDescent="0.25">
      <c r="B1350" s="25" t="str">
        <f>IFERROR(VLOOKUP(tbEquipe[[#This Row],[Nome]],tbFOPAG[[Nome]:[Cargo]],2,0),"&lt;Selecionar Nome&gt;")</f>
        <v>&lt;Selecionar Nome&gt;</v>
      </c>
      <c r="E1350">
        <f>176*tbEquipe[[#This Row],[Alocação]]</f>
        <v>0</v>
      </c>
      <c r="F1350" s="34"/>
      <c r="G13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0" s="1"/>
    </row>
    <row r="1351" spans="2:8" hidden="1" x14ac:dyDescent="0.25">
      <c r="B1351" s="25" t="str">
        <f>IFERROR(VLOOKUP(tbEquipe[[#This Row],[Nome]],tbFOPAG[[Nome]:[Cargo]],2,0),"&lt;Selecionar Nome&gt;")</f>
        <v>&lt;Selecionar Nome&gt;</v>
      </c>
      <c r="E1351">
        <f>176*tbEquipe[[#This Row],[Alocação]]</f>
        <v>0</v>
      </c>
      <c r="F1351" s="34"/>
      <c r="G13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1" s="1"/>
    </row>
    <row r="1352" spans="2:8" hidden="1" x14ac:dyDescent="0.25">
      <c r="B1352" s="25" t="str">
        <f>IFERROR(VLOOKUP(tbEquipe[[#This Row],[Nome]],tbFOPAG[[Nome]:[Cargo]],2,0),"&lt;Selecionar Nome&gt;")</f>
        <v>&lt;Selecionar Nome&gt;</v>
      </c>
      <c r="E1352">
        <f>176*tbEquipe[[#This Row],[Alocação]]</f>
        <v>0</v>
      </c>
      <c r="F1352" s="34"/>
      <c r="G13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2" s="1"/>
    </row>
    <row r="1353" spans="2:8" hidden="1" x14ac:dyDescent="0.25">
      <c r="B1353" s="25" t="str">
        <f>IFERROR(VLOOKUP(tbEquipe[[#This Row],[Nome]],tbFOPAG[[Nome]:[Cargo]],2,0),"&lt;Selecionar Nome&gt;")</f>
        <v>&lt;Selecionar Nome&gt;</v>
      </c>
      <c r="E1353">
        <f>176*tbEquipe[[#This Row],[Alocação]]</f>
        <v>0</v>
      </c>
      <c r="F1353" s="34"/>
      <c r="G13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3" s="1"/>
    </row>
    <row r="1354" spans="2:8" hidden="1" x14ac:dyDescent="0.25">
      <c r="B1354" s="25" t="str">
        <f>IFERROR(VLOOKUP(tbEquipe[[#This Row],[Nome]],tbFOPAG[[Nome]:[Cargo]],2,0),"&lt;Selecionar Nome&gt;")</f>
        <v>&lt;Selecionar Nome&gt;</v>
      </c>
      <c r="E1354">
        <f>176*tbEquipe[[#This Row],[Alocação]]</f>
        <v>0</v>
      </c>
      <c r="F1354" s="34"/>
      <c r="G13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4" s="1"/>
    </row>
    <row r="1355" spans="2:8" hidden="1" x14ac:dyDescent="0.25">
      <c r="B1355" s="25" t="str">
        <f>IFERROR(VLOOKUP(tbEquipe[[#This Row],[Nome]],tbFOPAG[[Nome]:[Cargo]],2,0),"&lt;Selecionar Nome&gt;")</f>
        <v>&lt;Selecionar Nome&gt;</v>
      </c>
      <c r="E1355">
        <f>176*tbEquipe[[#This Row],[Alocação]]</f>
        <v>0</v>
      </c>
      <c r="F1355" s="34"/>
      <c r="G13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5" s="1"/>
    </row>
    <row r="1356" spans="2:8" hidden="1" x14ac:dyDescent="0.25">
      <c r="B1356" s="25" t="str">
        <f>IFERROR(VLOOKUP(tbEquipe[[#This Row],[Nome]],tbFOPAG[[Nome]:[Cargo]],2,0),"&lt;Selecionar Nome&gt;")</f>
        <v>&lt;Selecionar Nome&gt;</v>
      </c>
      <c r="E1356">
        <f>176*tbEquipe[[#This Row],[Alocação]]</f>
        <v>0</v>
      </c>
      <c r="F1356" s="34"/>
      <c r="G13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6" s="1"/>
    </row>
    <row r="1357" spans="2:8" hidden="1" x14ac:dyDescent="0.25">
      <c r="B1357" s="25" t="str">
        <f>IFERROR(VLOOKUP(tbEquipe[[#This Row],[Nome]],tbFOPAG[[Nome]:[Cargo]],2,0),"&lt;Selecionar Nome&gt;")</f>
        <v>&lt;Selecionar Nome&gt;</v>
      </c>
      <c r="E1357">
        <f>176*tbEquipe[[#This Row],[Alocação]]</f>
        <v>0</v>
      </c>
      <c r="F1357" s="34"/>
      <c r="G13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7" s="1"/>
    </row>
    <row r="1358" spans="2:8" hidden="1" x14ac:dyDescent="0.25">
      <c r="B1358" s="25" t="str">
        <f>IFERROR(VLOOKUP(tbEquipe[[#This Row],[Nome]],tbFOPAG[[Nome]:[Cargo]],2,0),"&lt;Selecionar Nome&gt;")</f>
        <v>&lt;Selecionar Nome&gt;</v>
      </c>
      <c r="E1358">
        <f>176*tbEquipe[[#This Row],[Alocação]]</f>
        <v>0</v>
      </c>
      <c r="F1358" s="34"/>
      <c r="G13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8" s="1"/>
    </row>
    <row r="1359" spans="2:8" hidden="1" x14ac:dyDescent="0.25">
      <c r="B1359" s="25" t="str">
        <f>IFERROR(VLOOKUP(tbEquipe[[#This Row],[Nome]],tbFOPAG[[Nome]:[Cargo]],2,0),"&lt;Selecionar Nome&gt;")</f>
        <v>&lt;Selecionar Nome&gt;</v>
      </c>
      <c r="E1359">
        <f>176*tbEquipe[[#This Row],[Alocação]]</f>
        <v>0</v>
      </c>
      <c r="F1359" s="34"/>
      <c r="G13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59" s="1"/>
    </row>
    <row r="1360" spans="2:8" hidden="1" x14ac:dyDescent="0.25">
      <c r="B1360" s="25" t="str">
        <f>IFERROR(VLOOKUP(tbEquipe[[#This Row],[Nome]],tbFOPAG[[Nome]:[Cargo]],2,0),"&lt;Selecionar Nome&gt;")</f>
        <v>&lt;Selecionar Nome&gt;</v>
      </c>
      <c r="E1360">
        <f>176*tbEquipe[[#This Row],[Alocação]]</f>
        <v>0</v>
      </c>
      <c r="F1360" s="34"/>
      <c r="G13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0" s="1"/>
    </row>
    <row r="1361" spans="2:8" hidden="1" x14ac:dyDescent="0.25">
      <c r="B1361" s="25" t="str">
        <f>IFERROR(VLOOKUP(tbEquipe[[#This Row],[Nome]],tbFOPAG[[Nome]:[Cargo]],2,0),"&lt;Selecionar Nome&gt;")</f>
        <v>&lt;Selecionar Nome&gt;</v>
      </c>
      <c r="E1361">
        <f>176*tbEquipe[[#This Row],[Alocação]]</f>
        <v>0</v>
      </c>
      <c r="F1361" s="34"/>
      <c r="G13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1" s="1"/>
    </row>
    <row r="1362" spans="2:8" hidden="1" x14ac:dyDescent="0.25">
      <c r="B1362" s="25" t="str">
        <f>IFERROR(VLOOKUP(tbEquipe[[#This Row],[Nome]],tbFOPAG[[Nome]:[Cargo]],2,0),"&lt;Selecionar Nome&gt;")</f>
        <v>&lt;Selecionar Nome&gt;</v>
      </c>
      <c r="E1362">
        <f>176*tbEquipe[[#This Row],[Alocação]]</f>
        <v>0</v>
      </c>
      <c r="F1362" s="34"/>
      <c r="G13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2" s="1"/>
    </row>
    <row r="1363" spans="2:8" hidden="1" x14ac:dyDescent="0.25">
      <c r="B1363" s="25" t="str">
        <f>IFERROR(VLOOKUP(tbEquipe[[#This Row],[Nome]],tbFOPAG[[Nome]:[Cargo]],2,0),"&lt;Selecionar Nome&gt;")</f>
        <v>&lt;Selecionar Nome&gt;</v>
      </c>
      <c r="E1363">
        <f>176*tbEquipe[[#This Row],[Alocação]]</f>
        <v>0</v>
      </c>
      <c r="F1363" s="34"/>
      <c r="G13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3" s="1"/>
    </row>
    <row r="1364" spans="2:8" hidden="1" x14ac:dyDescent="0.25">
      <c r="B1364" s="25" t="str">
        <f>IFERROR(VLOOKUP(tbEquipe[[#This Row],[Nome]],tbFOPAG[[Nome]:[Cargo]],2,0),"&lt;Selecionar Nome&gt;")</f>
        <v>&lt;Selecionar Nome&gt;</v>
      </c>
      <c r="E1364">
        <f>176*tbEquipe[[#This Row],[Alocação]]</f>
        <v>0</v>
      </c>
      <c r="F1364" s="34"/>
      <c r="G13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4" s="1"/>
    </row>
    <row r="1365" spans="2:8" hidden="1" x14ac:dyDescent="0.25">
      <c r="B1365" s="25" t="str">
        <f>IFERROR(VLOOKUP(tbEquipe[[#This Row],[Nome]],tbFOPAG[[Nome]:[Cargo]],2,0),"&lt;Selecionar Nome&gt;")</f>
        <v>&lt;Selecionar Nome&gt;</v>
      </c>
      <c r="E1365">
        <f>176*tbEquipe[[#This Row],[Alocação]]</f>
        <v>0</v>
      </c>
      <c r="F1365" s="34"/>
      <c r="G13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5" s="1"/>
    </row>
    <row r="1366" spans="2:8" hidden="1" x14ac:dyDescent="0.25">
      <c r="B1366" s="25" t="str">
        <f>IFERROR(VLOOKUP(tbEquipe[[#This Row],[Nome]],tbFOPAG[[Nome]:[Cargo]],2,0),"&lt;Selecionar Nome&gt;")</f>
        <v>&lt;Selecionar Nome&gt;</v>
      </c>
      <c r="E1366">
        <f>176*tbEquipe[[#This Row],[Alocação]]</f>
        <v>0</v>
      </c>
      <c r="F1366" s="34"/>
      <c r="G13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6" s="1"/>
    </row>
    <row r="1367" spans="2:8" hidden="1" x14ac:dyDescent="0.25">
      <c r="B1367" s="25" t="str">
        <f>IFERROR(VLOOKUP(tbEquipe[[#This Row],[Nome]],tbFOPAG[[Nome]:[Cargo]],2,0),"&lt;Selecionar Nome&gt;")</f>
        <v>&lt;Selecionar Nome&gt;</v>
      </c>
      <c r="E1367">
        <f>176*tbEquipe[[#This Row],[Alocação]]</f>
        <v>0</v>
      </c>
      <c r="F1367" s="34"/>
      <c r="G13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7" s="1"/>
    </row>
    <row r="1368" spans="2:8" hidden="1" x14ac:dyDescent="0.25">
      <c r="B1368" s="25" t="str">
        <f>IFERROR(VLOOKUP(tbEquipe[[#This Row],[Nome]],tbFOPAG[[Nome]:[Cargo]],2,0),"&lt;Selecionar Nome&gt;")</f>
        <v>&lt;Selecionar Nome&gt;</v>
      </c>
      <c r="E1368">
        <f>176*tbEquipe[[#This Row],[Alocação]]</f>
        <v>0</v>
      </c>
      <c r="F1368" s="34"/>
      <c r="G13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8" s="1"/>
    </row>
    <row r="1369" spans="2:8" hidden="1" x14ac:dyDescent="0.25">
      <c r="B1369" s="25" t="str">
        <f>IFERROR(VLOOKUP(tbEquipe[[#This Row],[Nome]],tbFOPAG[[Nome]:[Cargo]],2,0),"&lt;Selecionar Nome&gt;")</f>
        <v>&lt;Selecionar Nome&gt;</v>
      </c>
      <c r="E1369">
        <f>176*tbEquipe[[#This Row],[Alocação]]</f>
        <v>0</v>
      </c>
      <c r="F1369" s="34"/>
      <c r="G13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69" s="1"/>
    </row>
    <row r="1370" spans="2:8" hidden="1" x14ac:dyDescent="0.25">
      <c r="B1370" s="25" t="str">
        <f>IFERROR(VLOOKUP(tbEquipe[[#This Row],[Nome]],tbFOPAG[[Nome]:[Cargo]],2,0),"&lt;Selecionar Nome&gt;")</f>
        <v>&lt;Selecionar Nome&gt;</v>
      </c>
      <c r="E1370">
        <f>176*tbEquipe[[#This Row],[Alocação]]</f>
        <v>0</v>
      </c>
      <c r="F1370" s="34"/>
      <c r="G13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0" s="1"/>
    </row>
    <row r="1371" spans="2:8" hidden="1" x14ac:dyDescent="0.25">
      <c r="B1371" s="25" t="str">
        <f>IFERROR(VLOOKUP(tbEquipe[[#This Row],[Nome]],tbFOPAG[[Nome]:[Cargo]],2,0),"&lt;Selecionar Nome&gt;")</f>
        <v>&lt;Selecionar Nome&gt;</v>
      </c>
      <c r="E1371">
        <f>176*tbEquipe[[#This Row],[Alocação]]</f>
        <v>0</v>
      </c>
      <c r="F1371" s="34"/>
      <c r="G13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1" s="1"/>
    </row>
    <row r="1372" spans="2:8" hidden="1" x14ac:dyDescent="0.25">
      <c r="B1372" s="25" t="str">
        <f>IFERROR(VLOOKUP(tbEquipe[[#This Row],[Nome]],tbFOPAG[[Nome]:[Cargo]],2,0),"&lt;Selecionar Nome&gt;")</f>
        <v>&lt;Selecionar Nome&gt;</v>
      </c>
      <c r="E1372">
        <f>176*tbEquipe[[#This Row],[Alocação]]</f>
        <v>0</v>
      </c>
      <c r="F1372" s="34"/>
      <c r="G13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2" s="1"/>
    </row>
    <row r="1373" spans="2:8" hidden="1" x14ac:dyDescent="0.25">
      <c r="B1373" s="25" t="str">
        <f>IFERROR(VLOOKUP(tbEquipe[[#This Row],[Nome]],tbFOPAG[[Nome]:[Cargo]],2,0),"&lt;Selecionar Nome&gt;")</f>
        <v>&lt;Selecionar Nome&gt;</v>
      </c>
      <c r="E1373">
        <f>176*tbEquipe[[#This Row],[Alocação]]</f>
        <v>0</v>
      </c>
      <c r="F1373" s="34"/>
      <c r="G13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3" s="1"/>
    </row>
    <row r="1374" spans="2:8" hidden="1" x14ac:dyDescent="0.25">
      <c r="B1374" s="25" t="str">
        <f>IFERROR(VLOOKUP(tbEquipe[[#This Row],[Nome]],tbFOPAG[[Nome]:[Cargo]],2,0),"&lt;Selecionar Nome&gt;")</f>
        <v>&lt;Selecionar Nome&gt;</v>
      </c>
      <c r="E1374">
        <f>176*tbEquipe[[#This Row],[Alocação]]</f>
        <v>0</v>
      </c>
      <c r="F1374" s="34"/>
      <c r="G13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4" s="1"/>
    </row>
    <row r="1375" spans="2:8" hidden="1" x14ac:dyDescent="0.25">
      <c r="B1375" s="25" t="str">
        <f>IFERROR(VLOOKUP(tbEquipe[[#This Row],[Nome]],tbFOPAG[[Nome]:[Cargo]],2,0),"&lt;Selecionar Nome&gt;")</f>
        <v>&lt;Selecionar Nome&gt;</v>
      </c>
      <c r="E1375">
        <f>176*tbEquipe[[#This Row],[Alocação]]</f>
        <v>0</v>
      </c>
      <c r="F1375" s="34"/>
      <c r="G13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5" s="1"/>
    </row>
    <row r="1376" spans="2:8" hidden="1" x14ac:dyDescent="0.25">
      <c r="B1376" s="25" t="str">
        <f>IFERROR(VLOOKUP(tbEquipe[[#This Row],[Nome]],tbFOPAG[[Nome]:[Cargo]],2,0),"&lt;Selecionar Nome&gt;")</f>
        <v>&lt;Selecionar Nome&gt;</v>
      </c>
      <c r="E1376">
        <f>176*tbEquipe[[#This Row],[Alocação]]</f>
        <v>0</v>
      </c>
      <c r="F1376" s="34"/>
      <c r="G13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6" s="1"/>
    </row>
    <row r="1377" spans="2:8" hidden="1" x14ac:dyDescent="0.25">
      <c r="B1377" s="25" t="str">
        <f>IFERROR(VLOOKUP(tbEquipe[[#This Row],[Nome]],tbFOPAG[[Nome]:[Cargo]],2,0),"&lt;Selecionar Nome&gt;")</f>
        <v>&lt;Selecionar Nome&gt;</v>
      </c>
      <c r="E1377">
        <f>176*tbEquipe[[#This Row],[Alocação]]</f>
        <v>0</v>
      </c>
      <c r="F1377" s="34"/>
      <c r="G13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7" s="1"/>
    </row>
    <row r="1378" spans="2:8" hidden="1" x14ac:dyDescent="0.25">
      <c r="B1378" s="25" t="str">
        <f>IFERROR(VLOOKUP(tbEquipe[[#This Row],[Nome]],tbFOPAG[[Nome]:[Cargo]],2,0),"&lt;Selecionar Nome&gt;")</f>
        <v>&lt;Selecionar Nome&gt;</v>
      </c>
      <c r="E1378">
        <f>176*tbEquipe[[#This Row],[Alocação]]</f>
        <v>0</v>
      </c>
      <c r="F1378" s="34"/>
      <c r="G13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8" s="1"/>
    </row>
    <row r="1379" spans="2:8" hidden="1" x14ac:dyDescent="0.25">
      <c r="B1379" s="25" t="str">
        <f>IFERROR(VLOOKUP(tbEquipe[[#This Row],[Nome]],tbFOPAG[[Nome]:[Cargo]],2,0),"&lt;Selecionar Nome&gt;")</f>
        <v>&lt;Selecionar Nome&gt;</v>
      </c>
      <c r="E1379">
        <f>176*tbEquipe[[#This Row],[Alocação]]</f>
        <v>0</v>
      </c>
      <c r="F1379" s="34"/>
      <c r="G13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79" s="1"/>
    </row>
    <row r="1380" spans="2:8" hidden="1" x14ac:dyDescent="0.25">
      <c r="B1380" s="25" t="str">
        <f>IFERROR(VLOOKUP(tbEquipe[[#This Row],[Nome]],tbFOPAG[[Nome]:[Cargo]],2,0),"&lt;Selecionar Nome&gt;")</f>
        <v>&lt;Selecionar Nome&gt;</v>
      </c>
      <c r="E1380">
        <f>176*tbEquipe[[#This Row],[Alocação]]</f>
        <v>0</v>
      </c>
      <c r="F1380" s="34"/>
      <c r="G13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0" s="1"/>
    </row>
    <row r="1381" spans="2:8" hidden="1" x14ac:dyDescent="0.25">
      <c r="B1381" s="25" t="str">
        <f>IFERROR(VLOOKUP(tbEquipe[[#This Row],[Nome]],tbFOPAG[[Nome]:[Cargo]],2,0),"&lt;Selecionar Nome&gt;")</f>
        <v>&lt;Selecionar Nome&gt;</v>
      </c>
      <c r="E1381">
        <f>176*tbEquipe[[#This Row],[Alocação]]</f>
        <v>0</v>
      </c>
      <c r="F1381" s="34"/>
      <c r="G13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1" s="1"/>
    </row>
    <row r="1382" spans="2:8" hidden="1" x14ac:dyDescent="0.25">
      <c r="B1382" s="25" t="str">
        <f>IFERROR(VLOOKUP(tbEquipe[[#This Row],[Nome]],tbFOPAG[[Nome]:[Cargo]],2,0),"&lt;Selecionar Nome&gt;")</f>
        <v>&lt;Selecionar Nome&gt;</v>
      </c>
      <c r="E1382">
        <f>176*tbEquipe[[#This Row],[Alocação]]</f>
        <v>0</v>
      </c>
      <c r="F1382" s="34"/>
      <c r="G13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2" s="1"/>
    </row>
    <row r="1383" spans="2:8" hidden="1" x14ac:dyDescent="0.25">
      <c r="B1383" s="25" t="str">
        <f>IFERROR(VLOOKUP(tbEquipe[[#This Row],[Nome]],tbFOPAG[[Nome]:[Cargo]],2,0),"&lt;Selecionar Nome&gt;")</f>
        <v>&lt;Selecionar Nome&gt;</v>
      </c>
      <c r="E1383">
        <f>176*tbEquipe[[#This Row],[Alocação]]</f>
        <v>0</v>
      </c>
      <c r="F1383" s="34"/>
      <c r="G13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3" s="1"/>
    </row>
    <row r="1384" spans="2:8" hidden="1" x14ac:dyDescent="0.25">
      <c r="B1384" s="25" t="str">
        <f>IFERROR(VLOOKUP(tbEquipe[[#This Row],[Nome]],tbFOPAG[[Nome]:[Cargo]],2,0),"&lt;Selecionar Nome&gt;")</f>
        <v>&lt;Selecionar Nome&gt;</v>
      </c>
      <c r="E1384">
        <f>176*tbEquipe[[#This Row],[Alocação]]</f>
        <v>0</v>
      </c>
      <c r="F1384" s="34"/>
      <c r="G13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4" s="1"/>
    </row>
    <row r="1385" spans="2:8" hidden="1" x14ac:dyDescent="0.25">
      <c r="B1385" s="25" t="str">
        <f>IFERROR(VLOOKUP(tbEquipe[[#This Row],[Nome]],tbFOPAG[[Nome]:[Cargo]],2,0),"&lt;Selecionar Nome&gt;")</f>
        <v>&lt;Selecionar Nome&gt;</v>
      </c>
      <c r="E1385">
        <f>176*tbEquipe[[#This Row],[Alocação]]</f>
        <v>0</v>
      </c>
      <c r="F1385" s="34"/>
      <c r="G13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5" s="1"/>
    </row>
    <row r="1386" spans="2:8" hidden="1" x14ac:dyDescent="0.25">
      <c r="B1386" s="25" t="str">
        <f>IFERROR(VLOOKUP(tbEquipe[[#This Row],[Nome]],tbFOPAG[[Nome]:[Cargo]],2,0),"&lt;Selecionar Nome&gt;")</f>
        <v>&lt;Selecionar Nome&gt;</v>
      </c>
      <c r="E1386">
        <f>176*tbEquipe[[#This Row],[Alocação]]</f>
        <v>0</v>
      </c>
      <c r="F1386" s="34"/>
      <c r="G13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6" s="1"/>
    </row>
    <row r="1387" spans="2:8" hidden="1" x14ac:dyDescent="0.25">
      <c r="B1387" s="25" t="str">
        <f>IFERROR(VLOOKUP(tbEquipe[[#This Row],[Nome]],tbFOPAG[[Nome]:[Cargo]],2,0),"&lt;Selecionar Nome&gt;")</f>
        <v>&lt;Selecionar Nome&gt;</v>
      </c>
      <c r="E1387">
        <f>176*tbEquipe[[#This Row],[Alocação]]</f>
        <v>0</v>
      </c>
      <c r="F1387" s="34"/>
      <c r="G13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7" s="1"/>
    </row>
    <row r="1388" spans="2:8" hidden="1" x14ac:dyDescent="0.25">
      <c r="B1388" s="25" t="str">
        <f>IFERROR(VLOOKUP(tbEquipe[[#This Row],[Nome]],tbFOPAG[[Nome]:[Cargo]],2,0),"&lt;Selecionar Nome&gt;")</f>
        <v>&lt;Selecionar Nome&gt;</v>
      </c>
      <c r="E1388">
        <f>176*tbEquipe[[#This Row],[Alocação]]</f>
        <v>0</v>
      </c>
      <c r="F1388" s="34"/>
      <c r="G13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8" s="1"/>
    </row>
    <row r="1389" spans="2:8" hidden="1" x14ac:dyDescent="0.25">
      <c r="B1389" s="25" t="str">
        <f>IFERROR(VLOOKUP(tbEquipe[[#This Row],[Nome]],tbFOPAG[[Nome]:[Cargo]],2,0),"&lt;Selecionar Nome&gt;")</f>
        <v>&lt;Selecionar Nome&gt;</v>
      </c>
      <c r="E1389">
        <f>176*tbEquipe[[#This Row],[Alocação]]</f>
        <v>0</v>
      </c>
      <c r="F1389" s="34"/>
      <c r="G13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89" s="1"/>
    </row>
    <row r="1390" spans="2:8" hidden="1" x14ac:dyDescent="0.25">
      <c r="B1390" s="25" t="str">
        <f>IFERROR(VLOOKUP(tbEquipe[[#This Row],[Nome]],tbFOPAG[[Nome]:[Cargo]],2,0),"&lt;Selecionar Nome&gt;")</f>
        <v>&lt;Selecionar Nome&gt;</v>
      </c>
      <c r="E1390">
        <f>176*tbEquipe[[#This Row],[Alocação]]</f>
        <v>0</v>
      </c>
      <c r="F1390" s="34"/>
      <c r="G13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0" s="1"/>
    </row>
    <row r="1391" spans="2:8" hidden="1" x14ac:dyDescent="0.25">
      <c r="B1391" s="25" t="str">
        <f>IFERROR(VLOOKUP(tbEquipe[[#This Row],[Nome]],tbFOPAG[[Nome]:[Cargo]],2,0),"&lt;Selecionar Nome&gt;")</f>
        <v>&lt;Selecionar Nome&gt;</v>
      </c>
      <c r="E1391">
        <f>176*tbEquipe[[#This Row],[Alocação]]</f>
        <v>0</v>
      </c>
      <c r="F1391" s="34"/>
      <c r="G13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1" s="1"/>
    </row>
    <row r="1392" spans="2:8" hidden="1" x14ac:dyDescent="0.25">
      <c r="B1392" s="25" t="str">
        <f>IFERROR(VLOOKUP(tbEquipe[[#This Row],[Nome]],tbFOPAG[[Nome]:[Cargo]],2,0),"&lt;Selecionar Nome&gt;")</f>
        <v>&lt;Selecionar Nome&gt;</v>
      </c>
      <c r="E1392">
        <f>176*tbEquipe[[#This Row],[Alocação]]</f>
        <v>0</v>
      </c>
      <c r="F1392" s="34"/>
      <c r="G13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2" s="1"/>
    </row>
    <row r="1393" spans="2:8" hidden="1" x14ac:dyDescent="0.25">
      <c r="B1393" s="25" t="str">
        <f>IFERROR(VLOOKUP(tbEquipe[[#This Row],[Nome]],tbFOPAG[[Nome]:[Cargo]],2,0),"&lt;Selecionar Nome&gt;")</f>
        <v>&lt;Selecionar Nome&gt;</v>
      </c>
      <c r="E1393">
        <f>176*tbEquipe[[#This Row],[Alocação]]</f>
        <v>0</v>
      </c>
      <c r="F1393" s="34"/>
      <c r="G13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3" s="1"/>
    </row>
    <row r="1394" spans="2:8" hidden="1" x14ac:dyDescent="0.25">
      <c r="B1394" s="25" t="str">
        <f>IFERROR(VLOOKUP(tbEquipe[[#This Row],[Nome]],tbFOPAG[[Nome]:[Cargo]],2,0),"&lt;Selecionar Nome&gt;")</f>
        <v>&lt;Selecionar Nome&gt;</v>
      </c>
      <c r="E1394">
        <f>176*tbEquipe[[#This Row],[Alocação]]</f>
        <v>0</v>
      </c>
      <c r="F1394" s="34"/>
      <c r="G13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4" s="1"/>
    </row>
    <row r="1395" spans="2:8" hidden="1" x14ac:dyDescent="0.25">
      <c r="B1395" s="25" t="str">
        <f>IFERROR(VLOOKUP(tbEquipe[[#This Row],[Nome]],tbFOPAG[[Nome]:[Cargo]],2,0),"&lt;Selecionar Nome&gt;")</f>
        <v>&lt;Selecionar Nome&gt;</v>
      </c>
      <c r="E1395">
        <f>176*tbEquipe[[#This Row],[Alocação]]</f>
        <v>0</v>
      </c>
      <c r="F1395" s="34"/>
      <c r="G13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5" s="1"/>
    </row>
    <row r="1396" spans="2:8" hidden="1" x14ac:dyDescent="0.25">
      <c r="B1396" s="25" t="str">
        <f>IFERROR(VLOOKUP(tbEquipe[[#This Row],[Nome]],tbFOPAG[[Nome]:[Cargo]],2,0),"&lt;Selecionar Nome&gt;")</f>
        <v>&lt;Selecionar Nome&gt;</v>
      </c>
      <c r="E1396">
        <f>176*tbEquipe[[#This Row],[Alocação]]</f>
        <v>0</v>
      </c>
      <c r="F1396" s="34"/>
      <c r="G13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6" s="1"/>
    </row>
    <row r="1397" spans="2:8" hidden="1" x14ac:dyDescent="0.25">
      <c r="B1397" s="25" t="str">
        <f>IFERROR(VLOOKUP(tbEquipe[[#This Row],[Nome]],tbFOPAG[[Nome]:[Cargo]],2,0),"&lt;Selecionar Nome&gt;")</f>
        <v>&lt;Selecionar Nome&gt;</v>
      </c>
      <c r="E1397">
        <f>176*tbEquipe[[#This Row],[Alocação]]</f>
        <v>0</v>
      </c>
      <c r="F1397" s="34"/>
      <c r="G13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7" s="1"/>
    </row>
    <row r="1398" spans="2:8" hidden="1" x14ac:dyDescent="0.25">
      <c r="B1398" s="25" t="str">
        <f>IFERROR(VLOOKUP(tbEquipe[[#This Row],[Nome]],tbFOPAG[[Nome]:[Cargo]],2,0),"&lt;Selecionar Nome&gt;")</f>
        <v>&lt;Selecionar Nome&gt;</v>
      </c>
      <c r="E1398">
        <f>176*tbEquipe[[#This Row],[Alocação]]</f>
        <v>0</v>
      </c>
      <c r="F1398" s="34"/>
      <c r="G13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8" s="1"/>
    </row>
    <row r="1399" spans="2:8" hidden="1" x14ac:dyDescent="0.25">
      <c r="B1399" s="25" t="str">
        <f>IFERROR(VLOOKUP(tbEquipe[[#This Row],[Nome]],tbFOPAG[[Nome]:[Cargo]],2,0),"&lt;Selecionar Nome&gt;")</f>
        <v>&lt;Selecionar Nome&gt;</v>
      </c>
      <c r="E1399">
        <f>176*tbEquipe[[#This Row],[Alocação]]</f>
        <v>0</v>
      </c>
      <c r="F1399" s="34"/>
      <c r="G13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399" s="1"/>
    </row>
    <row r="1400" spans="2:8" hidden="1" x14ac:dyDescent="0.25">
      <c r="B1400" s="25" t="str">
        <f>IFERROR(VLOOKUP(tbEquipe[[#This Row],[Nome]],tbFOPAG[[Nome]:[Cargo]],2,0),"&lt;Selecionar Nome&gt;")</f>
        <v>&lt;Selecionar Nome&gt;</v>
      </c>
      <c r="E1400">
        <f>176*tbEquipe[[#This Row],[Alocação]]</f>
        <v>0</v>
      </c>
      <c r="F1400" s="34"/>
      <c r="G14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0" s="1"/>
    </row>
    <row r="1401" spans="2:8" hidden="1" x14ac:dyDescent="0.25">
      <c r="B1401" s="25" t="str">
        <f>IFERROR(VLOOKUP(tbEquipe[[#This Row],[Nome]],tbFOPAG[[Nome]:[Cargo]],2,0),"&lt;Selecionar Nome&gt;")</f>
        <v>&lt;Selecionar Nome&gt;</v>
      </c>
      <c r="E1401">
        <f>176*tbEquipe[[#This Row],[Alocação]]</f>
        <v>0</v>
      </c>
      <c r="F1401" s="34"/>
      <c r="G14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1" s="1"/>
    </row>
    <row r="1402" spans="2:8" hidden="1" x14ac:dyDescent="0.25">
      <c r="B1402" s="25" t="str">
        <f>IFERROR(VLOOKUP(tbEquipe[[#This Row],[Nome]],tbFOPAG[[Nome]:[Cargo]],2,0),"&lt;Selecionar Nome&gt;")</f>
        <v>&lt;Selecionar Nome&gt;</v>
      </c>
      <c r="E1402">
        <f>176*tbEquipe[[#This Row],[Alocação]]</f>
        <v>0</v>
      </c>
      <c r="F1402" s="34"/>
      <c r="G14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2" s="1"/>
    </row>
    <row r="1403" spans="2:8" hidden="1" x14ac:dyDescent="0.25">
      <c r="B1403" s="25" t="str">
        <f>IFERROR(VLOOKUP(tbEquipe[[#This Row],[Nome]],tbFOPAG[[Nome]:[Cargo]],2,0),"&lt;Selecionar Nome&gt;")</f>
        <v>&lt;Selecionar Nome&gt;</v>
      </c>
      <c r="E1403">
        <f>176*tbEquipe[[#This Row],[Alocação]]</f>
        <v>0</v>
      </c>
      <c r="F1403" s="34"/>
      <c r="G14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3" s="1"/>
    </row>
    <row r="1404" spans="2:8" hidden="1" x14ac:dyDescent="0.25">
      <c r="B1404" s="25" t="str">
        <f>IFERROR(VLOOKUP(tbEquipe[[#This Row],[Nome]],tbFOPAG[[Nome]:[Cargo]],2,0),"&lt;Selecionar Nome&gt;")</f>
        <v>&lt;Selecionar Nome&gt;</v>
      </c>
      <c r="E1404">
        <f>176*tbEquipe[[#This Row],[Alocação]]</f>
        <v>0</v>
      </c>
      <c r="F1404" s="34"/>
      <c r="G14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4" s="1"/>
    </row>
    <row r="1405" spans="2:8" hidden="1" x14ac:dyDescent="0.25">
      <c r="B1405" s="25" t="str">
        <f>IFERROR(VLOOKUP(tbEquipe[[#This Row],[Nome]],tbFOPAG[[Nome]:[Cargo]],2,0),"&lt;Selecionar Nome&gt;")</f>
        <v>&lt;Selecionar Nome&gt;</v>
      </c>
      <c r="E1405">
        <f>176*tbEquipe[[#This Row],[Alocação]]</f>
        <v>0</v>
      </c>
      <c r="F1405" s="34"/>
      <c r="G14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5" s="1"/>
    </row>
    <row r="1406" spans="2:8" hidden="1" x14ac:dyDescent="0.25">
      <c r="B1406" s="25" t="str">
        <f>IFERROR(VLOOKUP(tbEquipe[[#This Row],[Nome]],tbFOPAG[[Nome]:[Cargo]],2,0),"&lt;Selecionar Nome&gt;")</f>
        <v>&lt;Selecionar Nome&gt;</v>
      </c>
      <c r="E1406">
        <f>176*tbEquipe[[#This Row],[Alocação]]</f>
        <v>0</v>
      </c>
      <c r="F1406" s="34"/>
      <c r="G14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6" s="1"/>
    </row>
    <row r="1407" spans="2:8" hidden="1" x14ac:dyDescent="0.25">
      <c r="B1407" s="25" t="str">
        <f>IFERROR(VLOOKUP(tbEquipe[[#This Row],[Nome]],tbFOPAG[[Nome]:[Cargo]],2,0),"&lt;Selecionar Nome&gt;")</f>
        <v>&lt;Selecionar Nome&gt;</v>
      </c>
      <c r="E1407">
        <f>176*tbEquipe[[#This Row],[Alocação]]</f>
        <v>0</v>
      </c>
      <c r="F1407" s="34"/>
      <c r="G14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7" s="1"/>
    </row>
    <row r="1408" spans="2:8" hidden="1" x14ac:dyDescent="0.25">
      <c r="B1408" s="25" t="str">
        <f>IFERROR(VLOOKUP(tbEquipe[[#This Row],[Nome]],tbFOPAG[[Nome]:[Cargo]],2,0),"&lt;Selecionar Nome&gt;")</f>
        <v>&lt;Selecionar Nome&gt;</v>
      </c>
      <c r="E1408">
        <f>176*tbEquipe[[#This Row],[Alocação]]</f>
        <v>0</v>
      </c>
      <c r="F1408" s="34"/>
      <c r="G14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8" s="1"/>
    </row>
    <row r="1409" spans="2:8" hidden="1" x14ac:dyDescent="0.25">
      <c r="B1409" s="25" t="str">
        <f>IFERROR(VLOOKUP(tbEquipe[[#This Row],[Nome]],tbFOPAG[[Nome]:[Cargo]],2,0),"&lt;Selecionar Nome&gt;")</f>
        <v>&lt;Selecionar Nome&gt;</v>
      </c>
      <c r="E1409">
        <f>176*tbEquipe[[#This Row],[Alocação]]</f>
        <v>0</v>
      </c>
      <c r="F1409" s="34"/>
      <c r="G14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09" s="1"/>
    </row>
    <row r="1410" spans="2:8" hidden="1" x14ac:dyDescent="0.25">
      <c r="B1410" s="25" t="str">
        <f>IFERROR(VLOOKUP(tbEquipe[[#This Row],[Nome]],tbFOPAG[[Nome]:[Cargo]],2,0),"&lt;Selecionar Nome&gt;")</f>
        <v>&lt;Selecionar Nome&gt;</v>
      </c>
      <c r="E1410">
        <f>176*tbEquipe[[#This Row],[Alocação]]</f>
        <v>0</v>
      </c>
      <c r="F1410" s="34"/>
      <c r="G14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0" s="1"/>
    </row>
    <row r="1411" spans="2:8" hidden="1" x14ac:dyDescent="0.25">
      <c r="B1411" s="25" t="str">
        <f>IFERROR(VLOOKUP(tbEquipe[[#This Row],[Nome]],tbFOPAG[[Nome]:[Cargo]],2,0),"&lt;Selecionar Nome&gt;")</f>
        <v>&lt;Selecionar Nome&gt;</v>
      </c>
      <c r="E1411">
        <f>176*tbEquipe[[#This Row],[Alocação]]</f>
        <v>0</v>
      </c>
      <c r="F1411" s="34"/>
      <c r="G14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1" s="1"/>
    </row>
    <row r="1412" spans="2:8" hidden="1" x14ac:dyDescent="0.25">
      <c r="B1412" s="25" t="str">
        <f>IFERROR(VLOOKUP(tbEquipe[[#This Row],[Nome]],tbFOPAG[[Nome]:[Cargo]],2,0),"&lt;Selecionar Nome&gt;")</f>
        <v>&lt;Selecionar Nome&gt;</v>
      </c>
      <c r="E1412">
        <f>176*tbEquipe[[#This Row],[Alocação]]</f>
        <v>0</v>
      </c>
      <c r="F1412" s="34"/>
      <c r="G14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2" s="1"/>
    </row>
    <row r="1413" spans="2:8" hidden="1" x14ac:dyDescent="0.25">
      <c r="B1413" s="25" t="str">
        <f>IFERROR(VLOOKUP(tbEquipe[[#This Row],[Nome]],tbFOPAG[[Nome]:[Cargo]],2,0),"&lt;Selecionar Nome&gt;")</f>
        <v>&lt;Selecionar Nome&gt;</v>
      </c>
      <c r="E1413">
        <f>176*tbEquipe[[#This Row],[Alocação]]</f>
        <v>0</v>
      </c>
      <c r="F1413" s="34"/>
      <c r="G14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3" s="1"/>
    </row>
    <row r="1414" spans="2:8" hidden="1" x14ac:dyDescent="0.25">
      <c r="B1414" s="25" t="str">
        <f>IFERROR(VLOOKUP(tbEquipe[[#This Row],[Nome]],tbFOPAG[[Nome]:[Cargo]],2,0),"&lt;Selecionar Nome&gt;")</f>
        <v>&lt;Selecionar Nome&gt;</v>
      </c>
      <c r="E1414">
        <f>176*tbEquipe[[#This Row],[Alocação]]</f>
        <v>0</v>
      </c>
      <c r="F1414" s="34"/>
      <c r="G14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4" s="1"/>
    </row>
    <row r="1415" spans="2:8" hidden="1" x14ac:dyDescent="0.25">
      <c r="B1415" s="25" t="str">
        <f>IFERROR(VLOOKUP(tbEquipe[[#This Row],[Nome]],tbFOPAG[[Nome]:[Cargo]],2,0),"&lt;Selecionar Nome&gt;")</f>
        <v>&lt;Selecionar Nome&gt;</v>
      </c>
      <c r="E1415">
        <f>176*tbEquipe[[#This Row],[Alocação]]</f>
        <v>0</v>
      </c>
      <c r="F1415" s="34"/>
      <c r="G14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5" s="1"/>
    </row>
    <row r="1416" spans="2:8" hidden="1" x14ac:dyDescent="0.25">
      <c r="B1416" s="25" t="str">
        <f>IFERROR(VLOOKUP(tbEquipe[[#This Row],[Nome]],tbFOPAG[[Nome]:[Cargo]],2,0),"&lt;Selecionar Nome&gt;")</f>
        <v>&lt;Selecionar Nome&gt;</v>
      </c>
      <c r="E1416">
        <f>176*tbEquipe[[#This Row],[Alocação]]</f>
        <v>0</v>
      </c>
      <c r="F1416" s="34"/>
      <c r="G14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6" s="1"/>
    </row>
    <row r="1417" spans="2:8" hidden="1" x14ac:dyDescent="0.25">
      <c r="B1417" s="25" t="str">
        <f>IFERROR(VLOOKUP(tbEquipe[[#This Row],[Nome]],tbFOPAG[[Nome]:[Cargo]],2,0),"&lt;Selecionar Nome&gt;")</f>
        <v>&lt;Selecionar Nome&gt;</v>
      </c>
      <c r="E1417">
        <f>176*tbEquipe[[#This Row],[Alocação]]</f>
        <v>0</v>
      </c>
      <c r="F1417" s="34"/>
      <c r="G14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7" s="1"/>
    </row>
    <row r="1418" spans="2:8" hidden="1" x14ac:dyDescent="0.25">
      <c r="B1418" s="25" t="str">
        <f>IFERROR(VLOOKUP(tbEquipe[[#This Row],[Nome]],tbFOPAG[[Nome]:[Cargo]],2,0),"&lt;Selecionar Nome&gt;")</f>
        <v>&lt;Selecionar Nome&gt;</v>
      </c>
      <c r="E1418">
        <f>176*tbEquipe[[#This Row],[Alocação]]</f>
        <v>0</v>
      </c>
      <c r="F1418" s="34"/>
      <c r="G14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8" s="1"/>
    </row>
    <row r="1419" spans="2:8" hidden="1" x14ac:dyDescent="0.25">
      <c r="B1419" s="25" t="str">
        <f>IFERROR(VLOOKUP(tbEquipe[[#This Row],[Nome]],tbFOPAG[[Nome]:[Cargo]],2,0),"&lt;Selecionar Nome&gt;")</f>
        <v>&lt;Selecionar Nome&gt;</v>
      </c>
      <c r="E1419">
        <f>176*tbEquipe[[#This Row],[Alocação]]</f>
        <v>0</v>
      </c>
      <c r="F1419" s="34"/>
      <c r="G14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19" s="1"/>
    </row>
    <row r="1420" spans="2:8" hidden="1" x14ac:dyDescent="0.25">
      <c r="B1420" s="25" t="str">
        <f>IFERROR(VLOOKUP(tbEquipe[[#This Row],[Nome]],tbFOPAG[[Nome]:[Cargo]],2,0),"&lt;Selecionar Nome&gt;")</f>
        <v>&lt;Selecionar Nome&gt;</v>
      </c>
      <c r="E1420">
        <f>176*tbEquipe[[#This Row],[Alocação]]</f>
        <v>0</v>
      </c>
      <c r="F1420" s="34"/>
      <c r="G14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0" s="1"/>
    </row>
    <row r="1421" spans="2:8" hidden="1" x14ac:dyDescent="0.25">
      <c r="B1421" s="25" t="str">
        <f>IFERROR(VLOOKUP(tbEquipe[[#This Row],[Nome]],tbFOPAG[[Nome]:[Cargo]],2,0),"&lt;Selecionar Nome&gt;")</f>
        <v>&lt;Selecionar Nome&gt;</v>
      </c>
      <c r="E1421">
        <f>176*tbEquipe[[#This Row],[Alocação]]</f>
        <v>0</v>
      </c>
      <c r="F1421" s="34"/>
      <c r="G14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1" s="1"/>
    </row>
    <row r="1422" spans="2:8" hidden="1" x14ac:dyDescent="0.25">
      <c r="B1422" s="25" t="str">
        <f>IFERROR(VLOOKUP(tbEquipe[[#This Row],[Nome]],tbFOPAG[[Nome]:[Cargo]],2,0),"&lt;Selecionar Nome&gt;")</f>
        <v>&lt;Selecionar Nome&gt;</v>
      </c>
      <c r="E1422">
        <f>176*tbEquipe[[#This Row],[Alocação]]</f>
        <v>0</v>
      </c>
      <c r="F1422" s="34"/>
      <c r="G14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2" s="1"/>
    </row>
    <row r="1423" spans="2:8" hidden="1" x14ac:dyDescent="0.25">
      <c r="B1423" s="25" t="str">
        <f>IFERROR(VLOOKUP(tbEquipe[[#This Row],[Nome]],tbFOPAG[[Nome]:[Cargo]],2,0),"&lt;Selecionar Nome&gt;")</f>
        <v>&lt;Selecionar Nome&gt;</v>
      </c>
      <c r="E1423">
        <f>176*tbEquipe[[#This Row],[Alocação]]</f>
        <v>0</v>
      </c>
      <c r="F1423" s="34"/>
      <c r="G14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3" s="1"/>
    </row>
    <row r="1424" spans="2:8" hidden="1" x14ac:dyDescent="0.25">
      <c r="B1424" s="25" t="str">
        <f>IFERROR(VLOOKUP(tbEquipe[[#This Row],[Nome]],tbFOPAG[[Nome]:[Cargo]],2,0),"&lt;Selecionar Nome&gt;")</f>
        <v>&lt;Selecionar Nome&gt;</v>
      </c>
      <c r="E1424">
        <f>176*tbEquipe[[#This Row],[Alocação]]</f>
        <v>0</v>
      </c>
      <c r="F1424" s="34"/>
      <c r="G14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4" s="1"/>
    </row>
    <row r="1425" spans="2:8" hidden="1" x14ac:dyDescent="0.25">
      <c r="B1425" s="25" t="str">
        <f>IFERROR(VLOOKUP(tbEquipe[[#This Row],[Nome]],tbFOPAG[[Nome]:[Cargo]],2,0),"&lt;Selecionar Nome&gt;")</f>
        <v>&lt;Selecionar Nome&gt;</v>
      </c>
      <c r="E1425">
        <f>176*tbEquipe[[#This Row],[Alocação]]</f>
        <v>0</v>
      </c>
      <c r="F1425" s="34"/>
      <c r="G14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5" s="1"/>
    </row>
    <row r="1426" spans="2:8" hidden="1" x14ac:dyDescent="0.25">
      <c r="B1426" s="25" t="str">
        <f>IFERROR(VLOOKUP(tbEquipe[[#This Row],[Nome]],tbFOPAG[[Nome]:[Cargo]],2,0),"&lt;Selecionar Nome&gt;")</f>
        <v>&lt;Selecionar Nome&gt;</v>
      </c>
      <c r="E1426">
        <f>176*tbEquipe[[#This Row],[Alocação]]</f>
        <v>0</v>
      </c>
      <c r="F1426" s="34"/>
      <c r="G14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6" s="1"/>
    </row>
    <row r="1427" spans="2:8" hidden="1" x14ac:dyDescent="0.25">
      <c r="B1427" s="25" t="str">
        <f>IFERROR(VLOOKUP(tbEquipe[[#This Row],[Nome]],tbFOPAG[[Nome]:[Cargo]],2,0),"&lt;Selecionar Nome&gt;")</f>
        <v>&lt;Selecionar Nome&gt;</v>
      </c>
      <c r="E1427">
        <f>176*tbEquipe[[#This Row],[Alocação]]</f>
        <v>0</v>
      </c>
      <c r="F1427" s="34"/>
      <c r="G14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7" s="1"/>
    </row>
    <row r="1428" spans="2:8" hidden="1" x14ac:dyDescent="0.25">
      <c r="B1428" s="25" t="str">
        <f>IFERROR(VLOOKUP(tbEquipe[[#This Row],[Nome]],tbFOPAG[[Nome]:[Cargo]],2,0),"&lt;Selecionar Nome&gt;")</f>
        <v>&lt;Selecionar Nome&gt;</v>
      </c>
      <c r="E1428">
        <f>176*tbEquipe[[#This Row],[Alocação]]</f>
        <v>0</v>
      </c>
      <c r="F1428" s="34"/>
      <c r="G14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8" s="1"/>
    </row>
    <row r="1429" spans="2:8" hidden="1" x14ac:dyDescent="0.25">
      <c r="B1429" s="25" t="str">
        <f>IFERROR(VLOOKUP(tbEquipe[[#This Row],[Nome]],tbFOPAG[[Nome]:[Cargo]],2,0),"&lt;Selecionar Nome&gt;")</f>
        <v>&lt;Selecionar Nome&gt;</v>
      </c>
      <c r="E1429">
        <f>176*tbEquipe[[#This Row],[Alocação]]</f>
        <v>0</v>
      </c>
      <c r="F1429" s="34"/>
      <c r="G14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29" s="1"/>
    </row>
    <row r="1430" spans="2:8" hidden="1" x14ac:dyDescent="0.25">
      <c r="B1430" s="25" t="str">
        <f>IFERROR(VLOOKUP(tbEquipe[[#This Row],[Nome]],tbFOPAG[[Nome]:[Cargo]],2,0),"&lt;Selecionar Nome&gt;")</f>
        <v>&lt;Selecionar Nome&gt;</v>
      </c>
      <c r="E1430">
        <f>176*tbEquipe[[#This Row],[Alocação]]</f>
        <v>0</v>
      </c>
      <c r="F1430" s="34"/>
      <c r="G14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0" s="1"/>
    </row>
    <row r="1431" spans="2:8" hidden="1" x14ac:dyDescent="0.25">
      <c r="B1431" s="25" t="str">
        <f>IFERROR(VLOOKUP(tbEquipe[[#This Row],[Nome]],tbFOPAG[[Nome]:[Cargo]],2,0),"&lt;Selecionar Nome&gt;")</f>
        <v>&lt;Selecionar Nome&gt;</v>
      </c>
      <c r="E1431">
        <f>176*tbEquipe[[#This Row],[Alocação]]</f>
        <v>0</v>
      </c>
      <c r="F1431" s="34"/>
      <c r="G14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1" s="1"/>
    </row>
    <row r="1432" spans="2:8" hidden="1" x14ac:dyDescent="0.25">
      <c r="B1432" s="25" t="str">
        <f>IFERROR(VLOOKUP(tbEquipe[[#This Row],[Nome]],tbFOPAG[[Nome]:[Cargo]],2,0),"&lt;Selecionar Nome&gt;")</f>
        <v>&lt;Selecionar Nome&gt;</v>
      </c>
      <c r="E1432">
        <f>176*tbEquipe[[#This Row],[Alocação]]</f>
        <v>0</v>
      </c>
      <c r="F1432" s="34"/>
      <c r="G14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2" s="1"/>
    </row>
    <row r="1433" spans="2:8" hidden="1" x14ac:dyDescent="0.25">
      <c r="B1433" s="25" t="str">
        <f>IFERROR(VLOOKUP(tbEquipe[[#This Row],[Nome]],tbFOPAG[[Nome]:[Cargo]],2,0),"&lt;Selecionar Nome&gt;")</f>
        <v>&lt;Selecionar Nome&gt;</v>
      </c>
      <c r="E1433">
        <f>176*tbEquipe[[#This Row],[Alocação]]</f>
        <v>0</v>
      </c>
      <c r="F1433" s="34"/>
      <c r="G14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3" s="1"/>
    </row>
    <row r="1434" spans="2:8" hidden="1" x14ac:dyDescent="0.25">
      <c r="B1434" s="25" t="str">
        <f>IFERROR(VLOOKUP(tbEquipe[[#This Row],[Nome]],tbFOPAG[[Nome]:[Cargo]],2,0),"&lt;Selecionar Nome&gt;")</f>
        <v>&lt;Selecionar Nome&gt;</v>
      </c>
      <c r="E1434">
        <f>176*tbEquipe[[#This Row],[Alocação]]</f>
        <v>0</v>
      </c>
      <c r="F1434" s="34"/>
      <c r="G14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4" s="1"/>
    </row>
    <row r="1435" spans="2:8" hidden="1" x14ac:dyDescent="0.25">
      <c r="B1435" s="25" t="str">
        <f>IFERROR(VLOOKUP(tbEquipe[[#This Row],[Nome]],tbFOPAG[[Nome]:[Cargo]],2,0),"&lt;Selecionar Nome&gt;")</f>
        <v>&lt;Selecionar Nome&gt;</v>
      </c>
      <c r="E1435">
        <f>176*tbEquipe[[#This Row],[Alocação]]</f>
        <v>0</v>
      </c>
      <c r="F1435" s="34"/>
      <c r="G14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5" s="1"/>
    </row>
    <row r="1436" spans="2:8" hidden="1" x14ac:dyDescent="0.25">
      <c r="B1436" s="25" t="str">
        <f>IFERROR(VLOOKUP(tbEquipe[[#This Row],[Nome]],tbFOPAG[[Nome]:[Cargo]],2,0),"&lt;Selecionar Nome&gt;")</f>
        <v>&lt;Selecionar Nome&gt;</v>
      </c>
      <c r="E1436">
        <f>176*tbEquipe[[#This Row],[Alocação]]</f>
        <v>0</v>
      </c>
      <c r="F1436" s="34"/>
      <c r="G14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6" s="1"/>
    </row>
    <row r="1437" spans="2:8" hidden="1" x14ac:dyDescent="0.25">
      <c r="B1437" s="25" t="str">
        <f>IFERROR(VLOOKUP(tbEquipe[[#This Row],[Nome]],tbFOPAG[[Nome]:[Cargo]],2,0),"&lt;Selecionar Nome&gt;")</f>
        <v>&lt;Selecionar Nome&gt;</v>
      </c>
      <c r="E1437">
        <f>176*tbEquipe[[#This Row],[Alocação]]</f>
        <v>0</v>
      </c>
      <c r="F1437" s="34"/>
      <c r="G14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7" s="1"/>
    </row>
    <row r="1438" spans="2:8" hidden="1" x14ac:dyDescent="0.25">
      <c r="B1438" s="25" t="str">
        <f>IFERROR(VLOOKUP(tbEquipe[[#This Row],[Nome]],tbFOPAG[[Nome]:[Cargo]],2,0),"&lt;Selecionar Nome&gt;")</f>
        <v>&lt;Selecionar Nome&gt;</v>
      </c>
      <c r="E1438">
        <f>176*tbEquipe[[#This Row],[Alocação]]</f>
        <v>0</v>
      </c>
      <c r="F1438" s="34"/>
      <c r="G14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8" s="1"/>
    </row>
    <row r="1439" spans="2:8" hidden="1" x14ac:dyDescent="0.25">
      <c r="B1439" s="25" t="str">
        <f>IFERROR(VLOOKUP(tbEquipe[[#This Row],[Nome]],tbFOPAG[[Nome]:[Cargo]],2,0),"&lt;Selecionar Nome&gt;")</f>
        <v>&lt;Selecionar Nome&gt;</v>
      </c>
      <c r="E1439">
        <f>176*tbEquipe[[#This Row],[Alocação]]</f>
        <v>0</v>
      </c>
      <c r="F1439" s="34"/>
      <c r="G14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39" s="1"/>
    </row>
    <row r="1440" spans="2:8" hidden="1" x14ac:dyDescent="0.25">
      <c r="B1440" s="25" t="str">
        <f>IFERROR(VLOOKUP(tbEquipe[[#This Row],[Nome]],tbFOPAG[[Nome]:[Cargo]],2,0),"&lt;Selecionar Nome&gt;")</f>
        <v>&lt;Selecionar Nome&gt;</v>
      </c>
      <c r="E1440">
        <f>176*tbEquipe[[#This Row],[Alocação]]</f>
        <v>0</v>
      </c>
      <c r="F1440" s="34"/>
      <c r="G14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0" s="1"/>
    </row>
    <row r="1441" spans="2:8" hidden="1" x14ac:dyDescent="0.25">
      <c r="B1441" s="25" t="str">
        <f>IFERROR(VLOOKUP(tbEquipe[[#This Row],[Nome]],tbFOPAG[[Nome]:[Cargo]],2,0),"&lt;Selecionar Nome&gt;")</f>
        <v>&lt;Selecionar Nome&gt;</v>
      </c>
      <c r="E1441">
        <f>176*tbEquipe[[#This Row],[Alocação]]</f>
        <v>0</v>
      </c>
      <c r="F1441" s="34"/>
      <c r="G14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1" s="1"/>
    </row>
    <row r="1442" spans="2:8" hidden="1" x14ac:dyDescent="0.25">
      <c r="B1442" s="25" t="str">
        <f>IFERROR(VLOOKUP(tbEquipe[[#This Row],[Nome]],tbFOPAG[[Nome]:[Cargo]],2,0),"&lt;Selecionar Nome&gt;")</f>
        <v>&lt;Selecionar Nome&gt;</v>
      </c>
      <c r="E1442">
        <f>176*tbEquipe[[#This Row],[Alocação]]</f>
        <v>0</v>
      </c>
      <c r="F1442" s="34"/>
      <c r="G14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2" s="1"/>
    </row>
    <row r="1443" spans="2:8" hidden="1" x14ac:dyDescent="0.25">
      <c r="B1443" s="25" t="str">
        <f>IFERROR(VLOOKUP(tbEquipe[[#This Row],[Nome]],tbFOPAG[[Nome]:[Cargo]],2,0),"&lt;Selecionar Nome&gt;")</f>
        <v>&lt;Selecionar Nome&gt;</v>
      </c>
      <c r="E1443">
        <f>176*tbEquipe[[#This Row],[Alocação]]</f>
        <v>0</v>
      </c>
      <c r="F1443" s="34"/>
      <c r="G14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3" s="1"/>
    </row>
    <row r="1444" spans="2:8" hidden="1" x14ac:dyDescent="0.25">
      <c r="B1444" s="25" t="str">
        <f>IFERROR(VLOOKUP(tbEquipe[[#This Row],[Nome]],tbFOPAG[[Nome]:[Cargo]],2,0),"&lt;Selecionar Nome&gt;")</f>
        <v>&lt;Selecionar Nome&gt;</v>
      </c>
      <c r="E1444">
        <f>176*tbEquipe[[#This Row],[Alocação]]</f>
        <v>0</v>
      </c>
      <c r="F1444" s="34"/>
      <c r="G14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4" s="1"/>
    </row>
    <row r="1445" spans="2:8" hidden="1" x14ac:dyDescent="0.25">
      <c r="B1445" s="25" t="str">
        <f>IFERROR(VLOOKUP(tbEquipe[[#This Row],[Nome]],tbFOPAG[[Nome]:[Cargo]],2,0),"&lt;Selecionar Nome&gt;")</f>
        <v>&lt;Selecionar Nome&gt;</v>
      </c>
      <c r="E1445">
        <f>176*tbEquipe[[#This Row],[Alocação]]</f>
        <v>0</v>
      </c>
      <c r="F1445" s="34"/>
      <c r="G14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5" s="1"/>
    </row>
    <row r="1446" spans="2:8" hidden="1" x14ac:dyDescent="0.25">
      <c r="B1446" s="25" t="str">
        <f>IFERROR(VLOOKUP(tbEquipe[[#This Row],[Nome]],tbFOPAG[[Nome]:[Cargo]],2,0),"&lt;Selecionar Nome&gt;")</f>
        <v>&lt;Selecionar Nome&gt;</v>
      </c>
      <c r="E1446">
        <f>176*tbEquipe[[#This Row],[Alocação]]</f>
        <v>0</v>
      </c>
      <c r="F1446" s="34"/>
      <c r="G14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6" s="1"/>
    </row>
    <row r="1447" spans="2:8" hidden="1" x14ac:dyDescent="0.25">
      <c r="B1447" s="25" t="str">
        <f>IFERROR(VLOOKUP(tbEquipe[[#This Row],[Nome]],tbFOPAG[[Nome]:[Cargo]],2,0),"&lt;Selecionar Nome&gt;")</f>
        <v>&lt;Selecionar Nome&gt;</v>
      </c>
      <c r="E1447">
        <f>176*tbEquipe[[#This Row],[Alocação]]</f>
        <v>0</v>
      </c>
      <c r="F1447" s="34"/>
      <c r="G144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7" s="1"/>
    </row>
    <row r="1448" spans="2:8" hidden="1" x14ac:dyDescent="0.25">
      <c r="B1448" s="25" t="str">
        <f>IFERROR(VLOOKUP(tbEquipe[[#This Row],[Nome]],tbFOPAG[[Nome]:[Cargo]],2,0),"&lt;Selecionar Nome&gt;")</f>
        <v>&lt;Selecionar Nome&gt;</v>
      </c>
      <c r="E1448">
        <f>176*tbEquipe[[#This Row],[Alocação]]</f>
        <v>0</v>
      </c>
      <c r="F1448" s="34"/>
      <c r="G144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8" s="1"/>
    </row>
    <row r="1449" spans="2:8" hidden="1" x14ac:dyDescent="0.25">
      <c r="B1449" s="25" t="str">
        <f>IFERROR(VLOOKUP(tbEquipe[[#This Row],[Nome]],tbFOPAG[[Nome]:[Cargo]],2,0),"&lt;Selecionar Nome&gt;")</f>
        <v>&lt;Selecionar Nome&gt;</v>
      </c>
      <c r="E1449">
        <f>176*tbEquipe[[#This Row],[Alocação]]</f>
        <v>0</v>
      </c>
      <c r="F1449" s="34"/>
      <c r="G144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49" s="1"/>
    </row>
    <row r="1450" spans="2:8" hidden="1" x14ac:dyDescent="0.25">
      <c r="B1450" s="25" t="str">
        <f>IFERROR(VLOOKUP(tbEquipe[[#This Row],[Nome]],tbFOPAG[[Nome]:[Cargo]],2,0),"&lt;Selecionar Nome&gt;")</f>
        <v>&lt;Selecionar Nome&gt;</v>
      </c>
      <c r="E1450">
        <f>176*tbEquipe[[#This Row],[Alocação]]</f>
        <v>0</v>
      </c>
      <c r="F1450" s="34"/>
      <c r="G145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0" s="1"/>
    </row>
    <row r="1451" spans="2:8" hidden="1" x14ac:dyDescent="0.25">
      <c r="B1451" s="25" t="str">
        <f>IFERROR(VLOOKUP(tbEquipe[[#This Row],[Nome]],tbFOPAG[[Nome]:[Cargo]],2,0),"&lt;Selecionar Nome&gt;")</f>
        <v>&lt;Selecionar Nome&gt;</v>
      </c>
      <c r="E1451">
        <f>176*tbEquipe[[#This Row],[Alocação]]</f>
        <v>0</v>
      </c>
      <c r="F1451" s="34"/>
      <c r="G145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1" s="1"/>
    </row>
    <row r="1452" spans="2:8" hidden="1" x14ac:dyDescent="0.25">
      <c r="B1452" s="25" t="str">
        <f>IFERROR(VLOOKUP(tbEquipe[[#This Row],[Nome]],tbFOPAG[[Nome]:[Cargo]],2,0),"&lt;Selecionar Nome&gt;")</f>
        <v>&lt;Selecionar Nome&gt;</v>
      </c>
      <c r="E1452">
        <f>176*tbEquipe[[#This Row],[Alocação]]</f>
        <v>0</v>
      </c>
      <c r="F1452" s="34"/>
      <c r="G145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2" s="1"/>
    </row>
    <row r="1453" spans="2:8" hidden="1" x14ac:dyDescent="0.25">
      <c r="B1453" s="25" t="str">
        <f>IFERROR(VLOOKUP(tbEquipe[[#This Row],[Nome]],tbFOPAG[[Nome]:[Cargo]],2,0),"&lt;Selecionar Nome&gt;")</f>
        <v>&lt;Selecionar Nome&gt;</v>
      </c>
      <c r="E1453">
        <f>176*tbEquipe[[#This Row],[Alocação]]</f>
        <v>0</v>
      </c>
      <c r="F1453" s="34"/>
      <c r="G145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3" s="1"/>
    </row>
    <row r="1454" spans="2:8" hidden="1" x14ac:dyDescent="0.25">
      <c r="B1454" s="25" t="str">
        <f>IFERROR(VLOOKUP(tbEquipe[[#This Row],[Nome]],tbFOPAG[[Nome]:[Cargo]],2,0),"&lt;Selecionar Nome&gt;")</f>
        <v>&lt;Selecionar Nome&gt;</v>
      </c>
      <c r="E1454">
        <f>176*tbEquipe[[#This Row],[Alocação]]</f>
        <v>0</v>
      </c>
      <c r="F1454" s="34"/>
      <c r="G145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4" s="1"/>
    </row>
    <row r="1455" spans="2:8" hidden="1" x14ac:dyDescent="0.25">
      <c r="B1455" s="25" t="str">
        <f>IFERROR(VLOOKUP(tbEquipe[[#This Row],[Nome]],tbFOPAG[[Nome]:[Cargo]],2,0),"&lt;Selecionar Nome&gt;")</f>
        <v>&lt;Selecionar Nome&gt;</v>
      </c>
      <c r="E1455">
        <f>176*tbEquipe[[#This Row],[Alocação]]</f>
        <v>0</v>
      </c>
      <c r="F1455" s="34"/>
      <c r="G145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5" s="1"/>
    </row>
    <row r="1456" spans="2:8" hidden="1" x14ac:dyDescent="0.25">
      <c r="B1456" s="25" t="str">
        <f>IFERROR(VLOOKUP(tbEquipe[[#This Row],[Nome]],tbFOPAG[[Nome]:[Cargo]],2,0),"&lt;Selecionar Nome&gt;")</f>
        <v>&lt;Selecionar Nome&gt;</v>
      </c>
      <c r="E1456">
        <f>176*tbEquipe[[#This Row],[Alocação]]</f>
        <v>0</v>
      </c>
      <c r="F1456" s="34"/>
      <c r="G145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6" s="1"/>
    </row>
    <row r="1457" spans="2:8" hidden="1" x14ac:dyDescent="0.25">
      <c r="B1457" s="25" t="str">
        <f>IFERROR(VLOOKUP(tbEquipe[[#This Row],[Nome]],tbFOPAG[[Nome]:[Cargo]],2,0),"&lt;Selecionar Nome&gt;")</f>
        <v>&lt;Selecionar Nome&gt;</v>
      </c>
      <c r="E1457">
        <f>176*tbEquipe[[#This Row],[Alocação]]</f>
        <v>0</v>
      </c>
      <c r="F1457" s="34"/>
      <c r="G145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7" s="1"/>
    </row>
    <row r="1458" spans="2:8" hidden="1" x14ac:dyDescent="0.25">
      <c r="B1458" s="25" t="str">
        <f>IFERROR(VLOOKUP(tbEquipe[[#This Row],[Nome]],tbFOPAG[[Nome]:[Cargo]],2,0),"&lt;Selecionar Nome&gt;")</f>
        <v>&lt;Selecionar Nome&gt;</v>
      </c>
      <c r="E1458">
        <f>176*tbEquipe[[#This Row],[Alocação]]</f>
        <v>0</v>
      </c>
      <c r="F1458" s="34"/>
      <c r="G145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8" s="1"/>
    </row>
    <row r="1459" spans="2:8" hidden="1" x14ac:dyDescent="0.25">
      <c r="B1459" s="25" t="str">
        <f>IFERROR(VLOOKUP(tbEquipe[[#This Row],[Nome]],tbFOPAG[[Nome]:[Cargo]],2,0),"&lt;Selecionar Nome&gt;")</f>
        <v>&lt;Selecionar Nome&gt;</v>
      </c>
      <c r="E1459">
        <f>176*tbEquipe[[#This Row],[Alocação]]</f>
        <v>0</v>
      </c>
      <c r="F1459" s="34"/>
      <c r="G145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59" s="1"/>
    </row>
    <row r="1460" spans="2:8" hidden="1" x14ac:dyDescent="0.25">
      <c r="B1460" s="25" t="str">
        <f>IFERROR(VLOOKUP(tbEquipe[[#This Row],[Nome]],tbFOPAG[[Nome]:[Cargo]],2,0),"&lt;Selecionar Nome&gt;")</f>
        <v>&lt;Selecionar Nome&gt;</v>
      </c>
      <c r="E1460">
        <f>176*tbEquipe[[#This Row],[Alocação]]</f>
        <v>0</v>
      </c>
      <c r="F1460" s="34"/>
      <c r="G146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0" s="1"/>
    </row>
    <row r="1461" spans="2:8" hidden="1" x14ac:dyDescent="0.25">
      <c r="B1461" s="25" t="str">
        <f>IFERROR(VLOOKUP(tbEquipe[[#This Row],[Nome]],tbFOPAG[[Nome]:[Cargo]],2,0),"&lt;Selecionar Nome&gt;")</f>
        <v>&lt;Selecionar Nome&gt;</v>
      </c>
      <c r="E1461">
        <f>176*tbEquipe[[#This Row],[Alocação]]</f>
        <v>0</v>
      </c>
      <c r="F1461" s="34"/>
      <c r="G146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1" s="1"/>
    </row>
    <row r="1462" spans="2:8" hidden="1" x14ac:dyDescent="0.25">
      <c r="B1462" s="25" t="str">
        <f>IFERROR(VLOOKUP(tbEquipe[[#This Row],[Nome]],tbFOPAG[[Nome]:[Cargo]],2,0),"&lt;Selecionar Nome&gt;")</f>
        <v>&lt;Selecionar Nome&gt;</v>
      </c>
      <c r="E1462">
        <f>176*tbEquipe[[#This Row],[Alocação]]</f>
        <v>0</v>
      </c>
      <c r="F1462" s="34"/>
      <c r="G146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2" s="1"/>
    </row>
    <row r="1463" spans="2:8" hidden="1" x14ac:dyDescent="0.25">
      <c r="B1463" s="25" t="str">
        <f>IFERROR(VLOOKUP(tbEquipe[[#This Row],[Nome]],tbFOPAG[[Nome]:[Cargo]],2,0),"&lt;Selecionar Nome&gt;")</f>
        <v>&lt;Selecionar Nome&gt;</v>
      </c>
      <c r="E1463">
        <f>176*tbEquipe[[#This Row],[Alocação]]</f>
        <v>0</v>
      </c>
      <c r="F1463" s="34"/>
      <c r="G146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3" s="1"/>
    </row>
    <row r="1464" spans="2:8" hidden="1" x14ac:dyDescent="0.25">
      <c r="B1464" s="25" t="str">
        <f>IFERROR(VLOOKUP(tbEquipe[[#This Row],[Nome]],tbFOPAG[[Nome]:[Cargo]],2,0),"&lt;Selecionar Nome&gt;")</f>
        <v>&lt;Selecionar Nome&gt;</v>
      </c>
      <c r="E1464">
        <f>176*tbEquipe[[#This Row],[Alocação]]</f>
        <v>0</v>
      </c>
      <c r="F1464" s="34"/>
      <c r="G146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4" s="1"/>
    </row>
    <row r="1465" spans="2:8" hidden="1" x14ac:dyDescent="0.25">
      <c r="B1465" s="25" t="str">
        <f>IFERROR(VLOOKUP(tbEquipe[[#This Row],[Nome]],tbFOPAG[[Nome]:[Cargo]],2,0),"&lt;Selecionar Nome&gt;")</f>
        <v>&lt;Selecionar Nome&gt;</v>
      </c>
      <c r="E1465">
        <f>176*tbEquipe[[#This Row],[Alocação]]</f>
        <v>0</v>
      </c>
      <c r="F1465" s="34"/>
      <c r="G146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5" s="1"/>
    </row>
    <row r="1466" spans="2:8" hidden="1" x14ac:dyDescent="0.25">
      <c r="B1466" s="25" t="str">
        <f>IFERROR(VLOOKUP(tbEquipe[[#This Row],[Nome]],tbFOPAG[[Nome]:[Cargo]],2,0),"&lt;Selecionar Nome&gt;")</f>
        <v>&lt;Selecionar Nome&gt;</v>
      </c>
      <c r="E1466">
        <f>176*tbEquipe[[#This Row],[Alocação]]</f>
        <v>0</v>
      </c>
      <c r="F1466" s="34"/>
      <c r="G146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6" s="1"/>
    </row>
    <row r="1467" spans="2:8" hidden="1" x14ac:dyDescent="0.25">
      <c r="B1467" s="25" t="str">
        <f>IFERROR(VLOOKUP(tbEquipe[[#This Row],[Nome]],tbFOPAG[[Nome]:[Cargo]],2,0),"&lt;Selecionar Nome&gt;")</f>
        <v>&lt;Selecionar Nome&gt;</v>
      </c>
      <c r="E1467">
        <f>176*tbEquipe[[#This Row],[Alocação]]</f>
        <v>0</v>
      </c>
      <c r="F1467" s="34"/>
      <c r="G146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7" s="1"/>
    </row>
    <row r="1468" spans="2:8" hidden="1" x14ac:dyDescent="0.25">
      <c r="B1468" s="25" t="str">
        <f>IFERROR(VLOOKUP(tbEquipe[[#This Row],[Nome]],tbFOPAG[[Nome]:[Cargo]],2,0),"&lt;Selecionar Nome&gt;")</f>
        <v>&lt;Selecionar Nome&gt;</v>
      </c>
      <c r="E1468">
        <f>176*tbEquipe[[#This Row],[Alocação]]</f>
        <v>0</v>
      </c>
      <c r="F1468" s="34"/>
      <c r="G146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8" s="1"/>
    </row>
    <row r="1469" spans="2:8" hidden="1" x14ac:dyDescent="0.25">
      <c r="B1469" s="25" t="str">
        <f>IFERROR(VLOOKUP(tbEquipe[[#This Row],[Nome]],tbFOPAG[[Nome]:[Cargo]],2,0),"&lt;Selecionar Nome&gt;")</f>
        <v>&lt;Selecionar Nome&gt;</v>
      </c>
      <c r="E1469">
        <f>176*tbEquipe[[#This Row],[Alocação]]</f>
        <v>0</v>
      </c>
      <c r="F1469" s="34"/>
      <c r="G146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69" s="1"/>
    </row>
    <row r="1470" spans="2:8" hidden="1" x14ac:dyDescent="0.25">
      <c r="B1470" s="25" t="str">
        <f>IFERROR(VLOOKUP(tbEquipe[[#This Row],[Nome]],tbFOPAG[[Nome]:[Cargo]],2,0),"&lt;Selecionar Nome&gt;")</f>
        <v>&lt;Selecionar Nome&gt;</v>
      </c>
      <c r="E1470">
        <f>176*tbEquipe[[#This Row],[Alocação]]</f>
        <v>0</v>
      </c>
      <c r="F1470" s="34"/>
      <c r="G147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0" s="1"/>
    </row>
    <row r="1471" spans="2:8" hidden="1" x14ac:dyDescent="0.25">
      <c r="B1471" s="25" t="str">
        <f>IFERROR(VLOOKUP(tbEquipe[[#This Row],[Nome]],tbFOPAG[[Nome]:[Cargo]],2,0),"&lt;Selecionar Nome&gt;")</f>
        <v>&lt;Selecionar Nome&gt;</v>
      </c>
      <c r="E1471">
        <f>176*tbEquipe[[#This Row],[Alocação]]</f>
        <v>0</v>
      </c>
      <c r="F1471" s="34"/>
      <c r="G147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1" s="1"/>
    </row>
    <row r="1472" spans="2:8" hidden="1" x14ac:dyDescent="0.25">
      <c r="B1472" s="25" t="str">
        <f>IFERROR(VLOOKUP(tbEquipe[[#This Row],[Nome]],tbFOPAG[[Nome]:[Cargo]],2,0),"&lt;Selecionar Nome&gt;")</f>
        <v>&lt;Selecionar Nome&gt;</v>
      </c>
      <c r="E1472">
        <f>176*tbEquipe[[#This Row],[Alocação]]</f>
        <v>0</v>
      </c>
      <c r="F1472" s="34"/>
      <c r="G147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2" s="1"/>
    </row>
    <row r="1473" spans="2:8" hidden="1" x14ac:dyDescent="0.25">
      <c r="B1473" s="25" t="str">
        <f>IFERROR(VLOOKUP(tbEquipe[[#This Row],[Nome]],tbFOPAG[[Nome]:[Cargo]],2,0),"&lt;Selecionar Nome&gt;")</f>
        <v>&lt;Selecionar Nome&gt;</v>
      </c>
      <c r="E1473">
        <f>176*tbEquipe[[#This Row],[Alocação]]</f>
        <v>0</v>
      </c>
      <c r="F1473" s="34"/>
      <c r="G147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3" s="1"/>
    </row>
    <row r="1474" spans="2:8" hidden="1" x14ac:dyDescent="0.25">
      <c r="B1474" s="25" t="str">
        <f>IFERROR(VLOOKUP(tbEquipe[[#This Row],[Nome]],tbFOPAG[[Nome]:[Cargo]],2,0),"&lt;Selecionar Nome&gt;")</f>
        <v>&lt;Selecionar Nome&gt;</v>
      </c>
      <c r="E1474">
        <f>176*tbEquipe[[#This Row],[Alocação]]</f>
        <v>0</v>
      </c>
      <c r="F1474" s="34"/>
      <c r="G147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4" s="1"/>
    </row>
    <row r="1475" spans="2:8" hidden="1" x14ac:dyDescent="0.25">
      <c r="B1475" s="25" t="str">
        <f>IFERROR(VLOOKUP(tbEquipe[[#This Row],[Nome]],tbFOPAG[[Nome]:[Cargo]],2,0),"&lt;Selecionar Nome&gt;")</f>
        <v>&lt;Selecionar Nome&gt;</v>
      </c>
      <c r="E1475">
        <f>176*tbEquipe[[#This Row],[Alocação]]</f>
        <v>0</v>
      </c>
      <c r="F1475" s="34"/>
      <c r="G147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5" s="1"/>
    </row>
    <row r="1476" spans="2:8" hidden="1" x14ac:dyDescent="0.25">
      <c r="B1476" s="25" t="str">
        <f>IFERROR(VLOOKUP(tbEquipe[[#This Row],[Nome]],tbFOPAG[[Nome]:[Cargo]],2,0),"&lt;Selecionar Nome&gt;")</f>
        <v>&lt;Selecionar Nome&gt;</v>
      </c>
      <c r="E1476">
        <f>176*tbEquipe[[#This Row],[Alocação]]</f>
        <v>0</v>
      </c>
      <c r="F1476" s="34"/>
      <c r="G147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6" s="1"/>
    </row>
    <row r="1477" spans="2:8" hidden="1" x14ac:dyDescent="0.25">
      <c r="B1477" s="25" t="str">
        <f>IFERROR(VLOOKUP(tbEquipe[[#This Row],[Nome]],tbFOPAG[[Nome]:[Cargo]],2,0),"&lt;Selecionar Nome&gt;")</f>
        <v>&lt;Selecionar Nome&gt;</v>
      </c>
      <c r="E1477">
        <f>176*tbEquipe[[#This Row],[Alocação]]</f>
        <v>0</v>
      </c>
      <c r="F1477" s="34"/>
      <c r="G147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7" s="1"/>
    </row>
    <row r="1478" spans="2:8" hidden="1" x14ac:dyDescent="0.25">
      <c r="B1478" s="25" t="str">
        <f>IFERROR(VLOOKUP(tbEquipe[[#This Row],[Nome]],tbFOPAG[[Nome]:[Cargo]],2,0),"&lt;Selecionar Nome&gt;")</f>
        <v>&lt;Selecionar Nome&gt;</v>
      </c>
      <c r="E1478">
        <f>176*tbEquipe[[#This Row],[Alocação]]</f>
        <v>0</v>
      </c>
      <c r="F1478" s="34"/>
      <c r="G147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8" s="1"/>
    </row>
    <row r="1479" spans="2:8" hidden="1" x14ac:dyDescent="0.25">
      <c r="B1479" s="25" t="str">
        <f>IFERROR(VLOOKUP(tbEquipe[[#This Row],[Nome]],tbFOPAG[[Nome]:[Cargo]],2,0),"&lt;Selecionar Nome&gt;")</f>
        <v>&lt;Selecionar Nome&gt;</v>
      </c>
      <c r="E1479">
        <f>176*tbEquipe[[#This Row],[Alocação]]</f>
        <v>0</v>
      </c>
      <c r="F1479" s="34"/>
      <c r="G147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79" s="1"/>
    </row>
    <row r="1480" spans="2:8" hidden="1" x14ac:dyDescent="0.25">
      <c r="B1480" s="25" t="str">
        <f>IFERROR(VLOOKUP(tbEquipe[[#This Row],[Nome]],tbFOPAG[[Nome]:[Cargo]],2,0),"&lt;Selecionar Nome&gt;")</f>
        <v>&lt;Selecionar Nome&gt;</v>
      </c>
      <c r="E1480">
        <f>176*tbEquipe[[#This Row],[Alocação]]</f>
        <v>0</v>
      </c>
      <c r="F1480" s="34"/>
      <c r="G148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0" s="1"/>
    </row>
    <row r="1481" spans="2:8" hidden="1" x14ac:dyDescent="0.25">
      <c r="B1481" s="25" t="str">
        <f>IFERROR(VLOOKUP(tbEquipe[[#This Row],[Nome]],tbFOPAG[[Nome]:[Cargo]],2,0),"&lt;Selecionar Nome&gt;")</f>
        <v>&lt;Selecionar Nome&gt;</v>
      </c>
      <c r="E1481">
        <f>176*tbEquipe[[#This Row],[Alocação]]</f>
        <v>0</v>
      </c>
      <c r="F1481" s="34"/>
      <c r="G148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1" s="1"/>
    </row>
    <row r="1482" spans="2:8" hidden="1" x14ac:dyDescent="0.25">
      <c r="B1482" s="25" t="str">
        <f>IFERROR(VLOOKUP(tbEquipe[[#This Row],[Nome]],tbFOPAG[[Nome]:[Cargo]],2,0),"&lt;Selecionar Nome&gt;")</f>
        <v>&lt;Selecionar Nome&gt;</v>
      </c>
      <c r="E1482">
        <f>176*tbEquipe[[#This Row],[Alocação]]</f>
        <v>0</v>
      </c>
      <c r="F1482" s="34"/>
      <c r="G148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2" s="1"/>
    </row>
    <row r="1483" spans="2:8" hidden="1" x14ac:dyDescent="0.25">
      <c r="B1483" s="25" t="str">
        <f>IFERROR(VLOOKUP(tbEquipe[[#This Row],[Nome]],tbFOPAG[[Nome]:[Cargo]],2,0),"&lt;Selecionar Nome&gt;")</f>
        <v>&lt;Selecionar Nome&gt;</v>
      </c>
      <c r="E1483">
        <f>176*tbEquipe[[#This Row],[Alocação]]</f>
        <v>0</v>
      </c>
      <c r="F1483" s="34"/>
      <c r="G148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3" s="1"/>
    </row>
    <row r="1484" spans="2:8" hidden="1" x14ac:dyDescent="0.25">
      <c r="B1484" s="25" t="str">
        <f>IFERROR(VLOOKUP(tbEquipe[[#This Row],[Nome]],tbFOPAG[[Nome]:[Cargo]],2,0),"&lt;Selecionar Nome&gt;")</f>
        <v>&lt;Selecionar Nome&gt;</v>
      </c>
      <c r="E1484">
        <f>176*tbEquipe[[#This Row],[Alocação]]</f>
        <v>0</v>
      </c>
      <c r="F1484" s="34"/>
      <c r="G148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4" s="1"/>
    </row>
    <row r="1485" spans="2:8" hidden="1" x14ac:dyDescent="0.25">
      <c r="B1485" s="25" t="str">
        <f>IFERROR(VLOOKUP(tbEquipe[[#This Row],[Nome]],tbFOPAG[[Nome]:[Cargo]],2,0),"&lt;Selecionar Nome&gt;")</f>
        <v>&lt;Selecionar Nome&gt;</v>
      </c>
      <c r="E1485">
        <f>176*tbEquipe[[#This Row],[Alocação]]</f>
        <v>0</v>
      </c>
      <c r="F1485" s="34"/>
      <c r="G148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5" s="1"/>
    </row>
    <row r="1486" spans="2:8" hidden="1" x14ac:dyDescent="0.25">
      <c r="B1486" s="25" t="str">
        <f>IFERROR(VLOOKUP(tbEquipe[[#This Row],[Nome]],tbFOPAG[[Nome]:[Cargo]],2,0),"&lt;Selecionar Nome&gt;")</f>
        <v>&lt;Selecionar Nome&gt;</v>
      </c>
      <c r="E1486">
        <f>176*tbEquipe[[#This Row],[Alocação]]</f>
        <v>0</v>
      </c>
      <c r="F1486" s="34"/>
      <c r="G148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6" s="1"/>
    </row>
    <row r="1487" spans="2:8" hidden="1" x14ac:dyDescent="0.25">
      <c r="B1487" s="25" t="str">
        <f>IFERROR(VLOOKUP(tbEquipe[[#This Row],[Nome]],tbFOPAG[[Nome]:[Cargo]],2,0),"&lt;Selecionar Nome&gt;")</f>
        <v>&lt;Selecionar Nome&gt;</v>
      </c>
      <c r="E1487">
        <f>176*tbEquipe[[#This Row],[Alocação]]</f>
        <v>0</v>
      </c>
      <c r="F1487" s="34"/>
      <c r="G148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7" s="1"/>
    </row>
    <row r="1488" spans="2:8" hidden="1" x14ac:dyDescent="0.25">
      <c r="B1488" s="25" t="str">
        <f>IFERROR(VLOOKUP(tbEquipe[[#This Row],[Nome]],tbFOPAG[[Nome]:[Cargo]],2,0),"&lt;Selecionar Nome&gt;")</f>
        <v>&lt;Selecionar Nome&gt;</v>
      </c>
      <c r="E1488">
        <f>176*tbEquipe[[#This Row],[Alocação]]</f>
        <v>0</v>
      </c>
      <c r="F1488" s="34"/>
      <c r="G148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8" s="1"/>
    </row>
    <row r="1489" spans="2:8" hidden="1" x14ac:dyDescent="0.25">
      <c r="B1489" s="25" t="str">
        <f>IFERROR(VLOOKUP(tbEquipe[[#This Row],[Nome]],tbFOPAG[[Nome]:[Cargo]],2,0),"&lt;Selecionar Nome&gt;")</f>
        <v>&lt;Selecionar Nome&gt;</v>
      </c>
      <c r="E1489">
        <f>176*tbEquipe[[#This Row],[Alocação]]</f>
        <v>0</v>
      </c>
      <c r="F1489" s="34"/>
      <c r="G148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89" s="1"/>
    </row>
    <row r="1490" spans="2:8" hidden="1" x14ac:dyDescent="0.25">
      <c r="B1490" s="25" t="str">
        <f>IFERROR(VLOOKUP(tbEquipe[[#This Row],[Nome]],tbFOPAG[[Nome]:[Cargo]],2,0),"&lt;Selecionar Nome&gt;")</f>
        <v>&lt;Selecionar Nome&gt;</v>
      </c>
      <c r="E1490">
        <f>176*tbEquipe[[#This Row],[Alocação]]</f>
        <v>0</v>
      </c>
      <c r="F1490" s="34"/>
      <c r="G149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0" s="1"/>
    </row>
    <row r="1491" spans="2:8" hidden="1" x14ac:dyDescent="0.25">
      <c r="B1491" s="25" t="str">
        <f>IFERROR(VLOOKUP(tbEquipe[[#This Row],[Nome]],tbFOPAG[[Nome]:[Cargo]],2,0),"&lt;Selecionar Nome&gt;")</f>
        <v>&lt;Selecionar Nome&gt;</v>
      </c>
      <c r="E1491">
        <f>176*tbEquipe[[#This Row],[Alocação]]</f>
        <v>0</v>
      </c>
      <c r="F1491" s="34"/>
      <c r="G149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1" s="1"/>
    </row>
    <row r="1492" spans="2:8" hidden="1" x14ac:dyDescent="0.25">
      <c r="B1492" s="25" t="str">
        <f>IFERROR(VLOOKUP(tbEquipe[[#This Row],[Nome]],tbFOPAG[[Nome]:[Cargo]],2,0),"&lt;Selecionar Nome&gt;")</f>
        <v>&lt;Selecionar Nome&gt;</v>
      </c>
      <c r="E1492">
        <f>176*tbEquipe[[#This Row],[Alocação]]</f>
        <v>0</v>
      </c>
      <c r="F1492" s="34"/>
      <c r="G149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2" s="1"/>
    </row>
    <row r="1493" spans="2:8" hidden="1" x14ac:dyDescent="0.25">
      <c r="B1493" s="25" t="str">
        <f>IFERROR(VLOOKUP(tbEquipe[[#This Row],[Nome]],tbFOPAG[[Nome]:[Cargo]],2,0),"&lt;Selecionar Nome&gt;")</f>
        <v>&lt;Selecionar Nome&gt;</v>
      </c>
      <c r="E1493">
        <f>176*tbEquipe[[#This Row],[Alocação]]</f>
        <v>0</v>
      </c>
      <c r="F1493" s="34"/>
      <c r="G149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3" s="1"/>
    </row>
    <row r="1494" spans="2:8" hidden="1" x14ac:dyDescent="0.25">
      <c r="B1494" s="25" t="str">
        <f>IFERROR(VLOOKUP(tbEquipe[[#This Row],[Nome]],tbFOPAG[[Nome]:[Cargo]],2,0),"&lt;Selecionar Nome&gt;")</f>
        <v>&lt;Selecionar Nome&gt;</v>
      </c>
      <c r="E1494">
        <f>176*tbEquipe[[#This Row],[Alocação]]</f>
        <v>0</v>
      </c>
      <c r="F1494" s="34"/>
      <c r="G149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4" s="1"/>
    </row>
    <row r="1495" spans="2:8" hidden="1" x14ac:dyDescent="0.25">
      <c r="B1495" s="25" t="str">
        <f>IFERROR(VLOOKUP(tbEquipe[[#This Row],[Nome]],tbFOPAG[[Nome]:[Cargo]],2,0),"&lt;Selecionar Nome&gt;")</f>
        <v>&lt;Selecionar Nome&gt;</v>
      </c>
      <c r="E1495">
        <f>176*tbEquipe[[#This Row],[Alocação]]</f>
        <v>0</v>
      </c>
      <c r="F1495" s="34"/>
      <c r="G149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5" s="1"/>
    </row>
    <row r="1496" spans="2:8" hidden="1" x14ac:dyDescent="0.25">
      <c r="B1496" s="25" t="str">
        <f>IFERROR(VLOOKUP(tbEquipe[[#This Row],[Nome]],tbFOPAG[[Nome]:[Cargo]],2,0),"&lt;Selecionar Nome&gt;")</f>
        <v>&lt;Selecionar Nome&gt;</v>
      </c>
      <c r="E1496">
        <f>176*tbEquipe[[#This Row],[Alocação]]</f>
        <v>0</v>
      </c>
      <c r="F1496" s="34"/>
      <c r="G149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6" s="1"/>
    </row>
    <row r="1497" spans="2:8" hidden="1" x14ac:dyDescent="0.25">
      <c r="B1497" s="25" t="str">
        <f>IFERROR(VLOOKUP(tbEquipe[[#This Row],[Nome]],tbFOPAG[[Nome]:[Cargo]],2,0),"&lt;Selecionar Nome&gt;")</f>
        <v>&lt;Selecionar Nome&gt;</v>
      </c>
      <c r="E1497">
        <f>176*tbEquipe[[#This Row],[Alocação]]</f>
        <v>0</v>
      </c>
      <c r="F1497" s="34"/>
      <c r="G149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7" s="1"/>
    </row>
    <row r="1498" spans="2:8" hidden="1" x14ac:dyDescent="0.25">
      <c r="B1498" s="25" t="str">
        <f>IFERROR(VLOOKUP(tbEquipe[[#This Row],[Nome]],tbFOPAG[[Nome]:[Cargo]],2,0),"&lt;Selecionar Nome&gt;")</f>
        <v>&lt;Selecionar Nome&gt;</v>
      </c>
      <c r="E1498">
        <f>176*tbEquipe[[#This Row],[Alocação]]</f>
        <v>0</v>
      </c>
      <c r="F1498" s="34"/>
      <c r="G149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8" s="1"/>
    </row>
    <row r="1499" spans="2:8" hidden="1" x14ac:dyDescent="0.25">
      <c r="B1499" s="25" t="str">
        <f>IFERROR(VLOOKUP(tbEquipe[[#This Row],[Nome]],tbFOPAG[[Nome]:[Cargo]],2,0),"&lt;Selecionar Nome&gt;")</f>
        <v>&lt;Selecionar Nome&gt;</v>
      </c>
      <c r="E1499">
        <f>176*tbEquipe[[#This Row],[Alocação]]</f>
        <v>0</v>
      </c>
      <c r="F1499" s="34"/>
      <c r="G149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499" s="1"/>
    </row>
    <row r="1500" spans="2:8" hidden="1" x14ac:dyDescent="0.25">
      <c r="B1500" s="25" t="str">
        <f>IFERROR(VLOOKUP(tbEquipe[[#This Row],[Nome]],tbFOPAG[[Nome]:[Cargo]],2,0),"&lt;Selecionar Nome&gt;")</f>
        <v>&lt;Selecionar Nome&gt;</v>
      </c>
      <c r="E1500">
        <f>176*tbEquipe[[#This Row],[Alocação]]</f>
        <v>0</v>
      </c>
      <c r="F1500" s="34"/>
      <c r="G150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0" s="1"/>
    </row>
    <row r="1501" spans="2:8" hidden="1" x14ac:dyDescent="0.25">
      <c r="B1501" s="25" t="str">
        <f>IFERROR(VLOOKUP(tbEquipe[[#This Row],[Nome]],tbFOPAG[[Nome]:[Cargo]],2,0),"&lt;Selecionar Nome&gt;")</f>
        <v>&lt;Selecionar Nome&gt;</v>
      </c>
      <c r="E1501">
        <f>176*tbEquipe[[#This Row],[Alocação]]</f>
        <v>0</v>
      </c>
      <c r="F1501" s="34"/>
      <c r="G150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1" s="1"/>
    </row>
    <row r="1502" spans="2:8" hidden="1" x14ac:dyDescent="0.25">
      <c r="B1502" s="25" t="str">
        <f>IFERROR(VLOOKUP(tbEquipe[[#This Row],[Nome]],tbFOPAG[[Nome]:[Cargo]],2,0),"&lt;Selecionar Nome&gt;")</f>
        <v>&lt;Selecionar Nome&gt;</v>
      </c>
      <c r="E1502">
        <f>176*tbEquipe[[#This Row],[Alocação]]</f>
        <v>0</v>
      </c>
      <c r="F1502" s="34"/>
      <c r="G150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2" s="1"/>
    </row>
    <row r="1503" spans="2:8" hidden="1" x14ac:dyDescent="0.25">
      <c r="B1503" s="25" t="str">
        <f>IFERROR(VLOOKUP(tbEquipe[[#This Row],[Nome]],tbFOPAG[[Nome]:[Cargo]],2,0),"&lt;Selecionar Nome&gt;")</f>
        <v>&lt;Selecionar Nome&gt;</v>
      </c>
      <c r="E1503">
        <f>176*tbEquipe[[#This Row],[Alocação]]</f>
        <v>0</v>
      </c>
      <c r="F1503" s="34"/>
      <c r="G150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3" s="1"/>
    </row>
    <row r="1504" spans="2:8" hidden="1" x14ac:dyDescent="0.25">
      <c r="B1504" s="25" t="str">
        <f>IFERROR(VLOOKUP(tbEquipe[[#This Row],[Nome]],tbFOPAG[[Nome]:[Cargo]],2,0),"&lt;Selecionar Nome&gt;")</f>
        <v>&lt;Selecionar Nome&gt;</v>
      </c>
      <c r="E1504">
        <f>176*tbEquipe[[#This Row],[Alocação]]</f>
        <v>0</v>
      </c>
      <c r="F1504" s="34"/>
      <c r="G150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4" s="1"/>
    </row>
    <row r="1505" spans="2:8" hidden="1" x14ac:dyDescent="0.25">
      <c r="B1505" s="25" t="str">
        <f>IFERROR(VLOOKUP(tbEquipe[[#This Row],[Nome]],tbFOPAG[[Nome]:[Cargo]],2,0),"&lt;Selecionar Nome&gt;")</f>
        <v>&lt;Selecionar Nome&gt;</v>
      </c>
      <c r="E1505">
        <f>176*tbEquipe[[#This Row],[Alocação]]</f>
        <v>0</v>
      </c>
      <c r="F1505" s="34"/>
      <c r="G150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5" s="1"/>
    </row>
    <row r="1506" spans="2:8" hidden="1" x14ac:dyDescent="0.25">
      <c r="B1506" s="25" t="str">
        <f>IFERROR(VLOOKUP(tbEquipe[[#This Row],[Nome]],tbFOPAG[[Nome]:[Cargo]],2,0),"&lt;Selecionar Nome&gt;")</f>
        <v>&lt;Selecionar Nome&gt;</v>
      </c>
      <c r="E1506">
        <f>176*tbEquipe[[#This Row],[Alocação]]</f>
        <v>0</v>
      </c>
      <c r="F1506" s="34"/>
      <c r="G150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6" s="1"/>
    </row>
    <row r="1507" spans="2:8" hidden="1" x14ac:dyDescent="0.25">
      <c r="B1507" s="25" t="str">
        <f>IFERROR(VLOOKUP(tbEquipe[[#This Row],[Nome]],tbFOPAG[[Nome]:[Cargo]],2,0),"&lt;Selecionar Nome&gt;")</f>
        <v>&lt;Selecionar Nome&gt;</v>
      </c>
      <c r="E1507">
        <f>176*tbEquipe[[#This Row],[Alocação]]</f>
        <v>0</v>
      </c>
      <c r="F1507" s="34"/>
      <c r="G150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7" s="1"/>
    </row>
    <row r="1508" spans="2:8" hidden="1" x14ac:dyDescent="0.25">
      <c r="B1508" s="25" t="str">
        <f>IFERROR(VLOOKUP(tbEquipe[[#This Row],[Nome]],tbFOPAG[[Nome]:[Cargo]],2,0),"&lt;Selecionar Nome&gt;")</f>
        <v>&lt;Selecionar Nome&gt;</v>
      </c>
      <c r="E1508">
        <f>176*tbEquipe[[#This Row],[Alocação]]</f>
        <v>0</v>
      </c>
      <c r="F1508" s="34"/>
      <c r="G150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8" s="1"/>
    </row>
    <row r="1509" spans="2:8" hidden="1" x14ac:dyDescent="0.25">
      <c r="B1509" s="25" t="str">
        <f>IFERROR(VLOOKUP(tbEquipe[[#This Row],[Nome]],tbFOPAG[[Nome]:[Cargo]],2,0),"&lt;Selecionar Nome&gt;")</f>
        <v>&lt;Selecionar Nome&gt;</v>
      </c>
      <c r="E1509">
        <f>176*tbEquipe[[#This Row],[Alocação]]</f>
        <v>0</v>
      </c>
      <c r="F1509" s="34"/>
      <c r="G150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09" s="1"/>
    </row>
    <row r="1510" spans="2:8" hidden="1" x14ac:dyDescent="0.25">
      <c r="B1510" s="25" t="str">
        <f>IFERROR(VLOOKUP(tbEquipe[[#This Row],[Nome]],tbFOPAG[[Nome]:[Cargo]],2,0),"&lt;Selecionar Nome&gt;")</f>
        <v>&lt;Selecionar Nome&gt;</v>
      </c>
      <c r="E1510">
        <f>176*tbEquipe[[#This Row],[Alocação]]</f>
        <v>0</v>
      </c>
      <c r="F1510" s="34"/>
      <c r="G151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0" s="1"/>
    </row>
    <row r="1511" spans="2:8" hidden="1" x14ac:dyDescent="0.25">
      <c r="B1511" s="25" t="str">
        <f>IFERROR(VLOOKUP(tbEquipe[[#This Row],[Nome]],tbFOPAG[[Nome]:[Cargo]],2,0),"&lt;Selecionar Nome&gt;")</f>
        <v>&lt;Selecionar Nome&gt;</v>
      </c>
      <c r="E1511">
        <f>176*tbEquipe[[#This Row],[Alocação]]</f>
        <v>0</v>
      </c>
      <c r="F1511" s="34"/>
      <c r="G151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1" s="1"/>
    </row>
    <row r="1512" spans="2:8" hidden="1" x14ac:dyDescent="0.25">
      <c r="B1512" s="25" t="str">
        <f>IFERROR(VLOOKUP(tbEquipe[[#This Row],[Nome]],tbFOPAG[[Nome]:[Cargo]],2,0),"&lt;Selecionar Nome&gt;")</f>
        <v>&lt;Selecionar Nome&gt;</v>
      </c>
      <c r="E1512">
        <f>176*tbEquipe[[#This Row],[Alocação]]</f>
        <v>0</v>
      </c>
      <c r="F1512" s="34"/>
      <c r="G151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2" s="1"/>
    </row>
    <row r="1513" spans="2:8" hidden="1" x14ac:dyDescent="0.25">
      <c r="B1513" s="25" t="str">
        <f>IFERROR(VLOOKUP(tbEquipe[[#This Row],[Nome]],tbFOPAG[[Nome]:[Cargo]],2,0),"&lt;Selecionar Nome&gt;")</f>
        <v>&lt;Selecionar Nome&gt;</v>
      </c>
      <c r="E1513">
        <f>176*tbEquipe[[#This Row],[Alocação]]</f>
        <v>0</v>
      </c>
      <c r="F1513" s="34"/>
      <c r="G151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3" s="1"/>
    </row>
    <row r="1514" spans="2:8" hidden="1" x14ac:dyDescent="0.25">
      <c r="B1514" s="25" t="str">
        <f>IFERROR(VLOOKUP(tbEquipe[[#This Row],[Nome]],tbFOPAG[[Nome]:[Cargo]],2,0),"&lt;Selecionar Nome&gt;")</f>
        <v>&lt;Selecionar Nome&gt;</v>
      </c>
      <c r="E1514">
        <f>176*tbEquipe[[#This Row],[Alocação]]</f>
        <v>0</v>
      </c>
      <c r="F1514" s="34"/>
      <c r="G151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4" s="1"/>
    </row>
    <row r="1515" spans="2:8" hidden="1" x14ac:dyDescent="0.25">
      <c r="B1515" s="25" t="str">
        <f>IFERROR(VLOOKUP(tbEquipe[[#This Row],[Nome]],tbFOPAG[[Nome]:[Cargo]],2,0),"&lt;Selecionar Nome&gt;")</f>
        <v>&lt;Selecionar Nome&gt;</v>
      </c>
      <c r="E1515">
        <f>176*tbEquipe[[#This Row],[Alocação]]</f>
        <v>0</v>
      </c>
      <c r="F1515" s="34"/>
      <c r="G151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5" s="1"/>
    </row>
    <row r="1516" spans="2:8" hidden="1" x14ac:dyDescent="0.25">
      <c r="B1516" s="25" t="str">
        <f>IFERROR(VLOOKUP(tbEquipe[[#This Row],[Nome]],tbFOPAG[[Nome]:[Cargo]],2,0),"&lt;Selecionar Nome&gt;")</f>
        <v>&lt;Selecionar Nome&gt;</v>
      </c>
      <c r="E1516">
        <f>176*tbEquipe[[#This Row],[Alocação]]</f>
        <v>0</v>
      </c>
      <c r="F1516" s="34"/>
      <c r="G151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6" s="1"/>
    </row>
    <row r="1517" spans="2:8" hidden="1" x14ac:dyDescent="0.25">
      <c r="B1517" s="25" t="str">
        <f>IFERROR(VLOOKUP(tbEquipe[[#This Row],[Nome]],tbFOPAG[[Nome]:[Cargo]],2,0),"&lt;Selecionar Nome&gt;")</f>
        <v>&lt;Selecionar Nome&gt;</v>
      </c>
      <c r="E1517">
        <f>176*tbEquipe[[#This Row],[Alocação]]</f>
        <v>0</v>
      </c>
      <c r="F1517" s="34"/>
      <c r="G151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7" s="1"/>
    </row>
    <row r="1518" spans="2:8" hidden="1" x14ac:dyDescent="0.25">
      <c r="B1518" s="25" t="str">
        <f>IFERROR(VLOOKUP(tbEquipe[[#This Row],[Nome]],tbFOPAG[[Nome]:[Cargo]],2,0),"&lt;Selecionar Nome&gt;")</f>
        <v>&lt;Selecionar Nome&gt;</v>
      </c>
      <c r="E1518">
        <f>176*tbEquipe[[#This Row],[Alocação]]</f>
        <v>0</v>
      </c>
      <c r="F1518" s="34"/>
      <c r="G151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8" s="1"/>
    </row>
    <row r="1519" spans="2:8" hidden="1" x14ac:dyDescent="0.25">
      <c r="B1519" s="25" t="str">
        <f>IFERROR(VLOOKUP(tbEquipe[[#This Row],[Nome]],tbFOPAG[[Nome]:[Cargo]],2,0),"&lt;Selecionar Nome&gt;")</f>
        <v>&lt;Selecionar Nome&gt;</v>
      </c>
      <c r="E1519">
        <f>176*tbEquipe[[#This Row],[Alocação]]</f>
        <v>0</v>
      </c>
      <c r="F1519" s="34"/>
      <c r="G151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19" s="1"/>
    </row>
    <row r="1520" spans="2:8" hidden="1" x14ac:dyDescent="0.25">
      <c r="B1520" s="25" t="str">
        <f>IFERROR(VLOOKUP(tbEquipe[[#This Row],[Nome]],tbFOPAG[[Nome]:[Cargo]],2,0),"&lt;Selecionar Nome&gt;")</f>
        <v>&lt;Selecionar Nome&gt;</v>
      </c>
      <c r="E1520">
        <f>176*tbEquipe[[#This Row],[Alocação]]</f>
        <v>0</v>
      </c>
      <c r="F1520" s="34"/>
      <c r="G152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0" s="1"/>
    </row>
    <row r="1521" spans="2:8" hidden="1" x14ac:dyDescent="0.25">
      <c r="B1521" s="25" t="str">
        <f>IFERROR(VLOOKUP(tbEquipe[[#This Row],[Nome]],tbFOPAG[[Nome]:[Cargo]],2,0),"&lt;Selecionar Nome&gt;")</f>
        <v>&lt;Selecionar Nome&gt;</v>
      </c>
      <c r="E1521">
        <f>176*tbEquipe[[#This Row],[Alocação]]</f>
        <v>0</v>
      </c>
      <c r="F1521" s="34"/>
      <c r="G152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1" s="1"/>
    </row>
    <row r="1522" spans="2:8" hidden="1" x14ac:dyDescent="0.25">
      <c r="B1522" s="25" t="str">
        <f>IFERROR(VLOOKUP(tbEquipe[[#This Row],[Nome]],tbFOPAG[[Nome]:[Cargo]],2,0),"&lt;Selecionar Nome&gt;")</f>
        <v>&lt;Selecionar Nome&gt;</v>
      </c>
      <c r="E1522">
        <f>176*tbEquipe[[#This Row],[Alocação]]</f>
        <v>0</v>
      </c>
      <c r="F1522" s="34"/>
      <c r="G152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2" s="1"/>
    </row>
    <row r="1523" spans="2:8" hidden="1" x14ac:dyDescent="0.25">
      <c r="B1523" s="25" t="str">
        <f>IFERROR(VLOOKUP(tbEquipe[[#This Row],[Nome]],tbFOPAG[[Nome]:[Cargo]],2,0),"&lt;Selecionar Nome&gt;")</f>
        <v>&lt;Selecionar Nome&gt;</v>
      </c>
      <c r="E1523">
        <f>176*tbEquipe[[#This Row],[Alocação]]</f>
        <v>0</v>
      </c>
      <c r="F1523" s="34"/>
      <c r="G152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3" s="1"/>
    </row>
    <row r="1524" spans="2:8" hidden="1" x14ac:dyDescent="0.25">
      <c r="B1524" s="25" t="str">
        <f>IFERROR(VLOOKUP(tbEquipe[[#This Row],[Nome]],tbFOPAG[[Nome]:[Cargo]],2,0),"&lt;Selecionar Nome&gt;")</f>
        <v>&lt;Selecionar Nome&gt;</v>
      </c>
      <c r="E1524">
        <f>176*tbEquipe[[#This Row],[Alocação]]</f>
        <v>0</v>
      </c>
      <c r="F1524" s="34"/>
      <c r="G152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4" s="1"/>
    </row>
    <row r="1525" spans="2:8" hidden="1" x14ac:dyDescent="0.25">
      <c r="B1525" s="25" t="str">
        <f>IFERROR(VLOOKUP(tbEquipe[[#This Row],[Nome]],tbFOPAG[[Nome]:[Cargo]],2,0),"&lt;Selecionar Nome&gt;")</f>
        <v>&lt;Selecionar Nome&gt;</v>
      </c>
      <c r="E1525">
        <f>176*tbEquipe[[#This Row],[Alocação]]</f>
        <v>0</v>
      </c>
      <c r="F1525" s="34"/>
      <c r="G152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5" s="1"/>
    </row>
    <row r="1526" spans="2:8" hidden="1" x14ac:dyDescent="0.25">
      <c r="B1526" s="25" t="str">
        <f>IFERROR(VLOOKUP(tbEquipe[[#This Row],[Nome]],tbFOPAG[[Nome]:[Cargo]],2,0),"&lt;Selecionar Nome&gt;")</f>
        <v>&lt;Selecionar Nome&gt;</v>
      </c>
      <c r="E1526">
        <f>176*tbEquipe[[#This Row],[Alocação]]</f>
        <v>0</v>
      </c>
      <c r="F1526" s="34"/>
      <c r="G152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6" s="1"/>
    </row>
    <row r="1527" spans="2:8" hidden="1" x14ac:dyDescent="0.25">
      <c r="B1527" s="25" t="str">
        <f>IFERROR(VLOOKUP(tbEquipe[[#This Row],[Nome]],tbFOPAG[[Nome]:[Cargo]],2,0),"&lt;Selecionar Nome&gt;")</f>
        <v>&lt;Selecionar Nome&gt;</v>
      </c>
      <c r="E1527">
        <f>176*tbEquipe[[#This Row],[Alocação]]</f>
        <v>0</v>
      </c>
      <c r="F1527" s="34"/>
      <c r="G152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7" s="1"/>
    </row>
    <row r="1528" spans="2:8" hidden="1" x14ac:dyDescent="0.25">
      <c r="B1528" s="25" t="str">
        <f>IFERROR(VLOOKUP(tbEquipe[[#This Row],[Nome]],tbFOPAG[[Nome]:[Cargo]],2,0),"&lt;Selecionar Nome&gt;")</f>
        <v>&lt;Selecionar Nome&gt;</v>
      </c>
      <c r="E1528">
        <f>176*tbEquipe[[#This Row],[Alocação]]</f>
        <v>0</v>
      </c>
      <c r="F1528" s="34"/>
      <c r="G152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8" s="1"/>
    </row>
    <row r="1529" spans="2:8" hidden="1" x14ac:dyDescent="0.25">
      <c r="B1529" s="25" t="str">
        <f>IFERROR(VLOOKUP(tbEquipe[[#This Row],[Nome]],tbFOPAG[[Nome]:[Cargo]],2,0),"&lt;Selecionar Nome&gt;")</f>
        <v>&lt;Selecionar Nome&gt;</v>
      </c>
      <c r="E1529">
        <f>176*tbEquipe[[#This Row],[Alocação]]</f>
        <v>0</v>
      </c>
      <c r="F1529" s="34"/>
      <c r="G152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29" s="1"/>
    </row>
    <row r="1530" spans="2:8" hidden="1" x14ac:dyDescent="0.25">
      <c r="B1530" s="25" t="str">
        <f>IFERROR(VLOOKUP(tbEquipe[[#This Row],[Nome]],tbFOPAG[[Nome]:[Cargo]],2,0),"&lt;Selecionar Nome&gt;")</f>
        <v>&lt;Selecionar Nome&gt;</v>
      </c>
      <c r="E1530">
        <f>176*tbEquipe[[#This Row],[Alocação]]</f>
        <v>0</v>
      </c>
      <c r="F1530" s="34"/>
      <c r="G153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0" s="1"/>
    </row>
    <row r="1531" spans="2:8" hidden="1" x14ac:dyDescent="0.25">
      <c r="B1531" s="25" t="str">
        <f>IFERROR(VLOOKUP(tbEquipe[[#This Row],[Nome]],tbFOPAG[[Nome]:[Cargo]],2,0),"&lt;Selecionar Nome&gt;")</f>
        <v>&lt;Selecionar Nome&gt;</v>
      </c>
      <c r="E1531">
        <f>176*tbEquipe[[#This Row],[Alocação]]</f>
        <v>0</v>
      </c>
      <c r="F1531" s="34"/>
      <c r="G153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1" s="1"/>
    </row>
    <row r="1532" spans="2:8" hidden="1" x14ac:dyDescent="0.25">
      <c r="B1532" s="25" t="str">
        <f>IFERROR(VLOOKUP(tbEquipe[[#This Row],[Nome]],tbFOPAG[[Nome]:[Cargo]],2,0),"&lt;Selecionar Nome&gt;")</f>
        <v>&lt;Selecionar Nome&gt;</v>
      </c>
      <c r="E1532">
        <f>176*tbEquipe[[#This Row],[Alocação]]</f>
        <v>0</v>
      </c>
      <c r="F1532" s="34"/>
      <c r="G153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2" s="1"/>
    </row>
    <row r="1533" spans="2:8" hidden="1" x14ac:dyDescent="0.25">
      <c r="B1533" s="25" t="str">
        <f>IFERROR(VLOOKUP(tbEquipe[[#This Row],[Nome]],tbFOPAG[[Nome]:[Cargo]],2,0),"&lt;Selecionar Nome&gt;")</f>
        <v>&lt;Selecionar Nome&gt;</v>
      </c>
      <c r="E1533">
        <f>176*tbEquipe[[#This Row],[Alocação]]</f>
        <v>0</v>
      </c>
      <c r="F1533" s="34"/>
      <c r="G153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3" s="1"/>
    </row>
    <row r="1534" spans="2:8" hidden="1" x14ac:dyDescent="0.25">
      <c r="B1534" s="25" t="str">
        <f>IFERROR(VLOOKUP(tbEquipe[[#This Row],[Nome]],tbFOPAG[[Nome]:[Cargo]],2,0),"&lt;Selecionar Nome&gt;")</f>
        <v>&lt;Selecionar Nome&gt;</v>
      </c>
      <c r="E1534">
        <f>176*tbEquipe[[#This Row],[Alocação]]</f>
        <v>0</v>
      </c>
      <c r="F1534" s="34"/>
      <c r="G153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4" s="1"/>
    </row>
    <row r="1535" spans="2:8" hidden="1" x14ac:dyDescent="0.25">
      <c r="B1535" s="25" t="str">
        <f>IFERROR(VLOOKUP(tbEquipe[[#This Row],[Nome]],tbFOPAG[[Nome]:[Cargo]],2,0),"&lt;Selecionar Nome&gt;")</f>
        <v>&lt;Selecionar Nome&gt;</v>
      </c>
      <c r="E1535">
        <f>176*tbEquipe[[#This Row],[Alocação]]</f>
        <v>0</v>
      </c>
      <c r="F1535" s="34"/>
      <c r="G153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5" s="1"/>
    </row>
    <row r="1536" spans="2:8" hidden="1" x14ac:dyDescent="0.25">
      <c r="B1536" s="25" t="str">
        <f>IFERROR(VLOOKUP(tbEquipe[[#This Row],[Nome]],tbFOPAG[[Nome]:[Cargo]],2,0),"&lt;Selecionar Nome&gt;")</f>
        <v>&lt;Selecionar Nome&gt;</v>
      </c>
      <c r="E1536">
        <f>176*tbEquipe[[#This Row],[Alocação]]</f>
        <v>0</v>
      </c>
      <c r="F1536" s="34"/>
      <c r="G153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6" s="1"/>
    </row>
    <row r="1537" spans="2:14" hidden="1" x14ac:dyDescent="0.25">
      <c r="B1537" s="25" t="str">
        <f>IFERROR(VLOOKUP(tbEquipe[[#This Row],[Nome]],tbFOPAG[[Nome]:[Cargo]],2,0),"&lt;Selecionar Nome&gt;")</f>
        <v>&lt;Selecionar Nome&gt;</v>
      </c>
      <c r="E1537">
        <f>176*tbEquipe[[#This Row],[Alocação]]</f>
        <v>0</v>
      </c>
      <c r="F1537" s="34"/>
      <c r="G1537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7" s="1"/>
    </row>
    <row r="1538" spans="2:14" hidden="1" x14ac:dyDescent="0.25">
      <c r="B1538" s="25" t="str">
        <f>IFERROR(VLOOKUP(tbEquipe[[#This Row],[Nome]],tbFOPAG[[Nome]:[Cargo]],2,0),"&lt;Selecionar Nome&gt;")</f>
        <v>&lt;Selecionar Nome&gt;</v>
      </c>
      <c r="E1538">
        <f>176*tbEquipe[[#This Row],[Alocação]]</f>
        <v>0</v>
      </c>
      <c r="F1538" s="34"/>
      <c r="G1538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8" s="1"/>
    </row>
    <row r="1539" spans="2:14" hidden="1" x14ac:dyDescent="0.25">
      <c r="B1539" s="25" t="str">
        <f>IFERROR(VLOOKUP(tbEquipe[[#This Row],[Nome]],tbFOPAG[[Nome]:[Cargo]],2,0),"&lt;Selecionar Nome&gt;")</f>
        <v>&lt;Selecionar Nome&gt;</v>
      </c>
      <c r="E1539">
        <f>176*tbEquipe[[#This Row],[Alocação]]</f>
        <v>0</v>
      </c>
      <c r="F1539" s="34"/>
      <c r="G1539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39" s="1"/>
    </row>
    <row r="1540" spans="2:14" hidden="1" x14ac:dyDescent="0.25">
      <c r="B1540" s="25" t="str">
        <f>IFERROR(VLOOKUP(tbEquipe[[#This Row],[Nome]],tbFOPAG[[Nome]:[Cargo]],2,0),"&lt;Selecionar Nome&gt;")</f>
        <v>&lt;Selecionar Nome&gt;</v>
      </c>
      <c r="E1540">
        <f>176*tbEquipe[[#This Row],[Alocação]]</f>
        <v>0</v>
      </c>
      <c r="F1540" s="34"/>
      <c r="G1540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0" s="1"/>
    </row>
    <row r="1541" spans="2:14" hidden="1" x14ac:dyDescent="0.25">
      <c r="B1541" s="25" t="str">
        <f>IFERROR(VLOOKUP(tbEquipe[[#This Row],[Nome]],tbFOPAG[[Nome]:[Cargo]],2,0),"&lt;Selecionar Nome&gt;")</f>
        <v>&lt;Selecionar Nome&gt;</v>
      </c>
      <c r="E1541">
        <f>176*tbEquipe[[#This Row],[Alocação]]</f>
        <v>0</v>
      </c>
      <c r="F1541" s="34"/>
      <c r="G1541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1" s="1"/>
    </row>
    <row r="1542" spans="2:14" hidden="1" x14ac:dyDescent="0.25">
      <c r="B1542" s="25" t="str">
        <f>IFERROR(VLOOKUP(tbEquipe[[#This Row],[Nome]],tbFOPAG[[Nome]:[Cargo]],2,0),"&lt;Selecionar Nome&gt;")</f>
        <v>&lt;Selecionar Nome&gt;</v>
      </c>
      <c r="E1542">
        <f>176*tbEquipe[[#This Row],[Alocação]]</f>
        <v>0</v>
      </c>
      <c r="F1542" s="34"/>
      <c r="G1542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2" s="1"/>
    </row>
    <row r="1543" spans="2:14" hidden="1" x14ac:dyDescent="0.25">
      <c r="B1543" s="25" t="str">
        <f>IFERROR(VLOOKUP(tbEquipe[[#This Row],[Nome]],tbFOPAG[[Nome]:[Cargo]],2,0),"&lt;Selecionar Nome&gt;")</f>
        <v>&lt;Selecionar Nome&gt;</v>
      </c>
      <c r="E1543">
        <f>176*tbEquipe[[#This Row],[Alocação]]</f>
        <v>0</v>
      </c>
      <c r="F1543" s="34"/>
      <c r="G1543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3" s="1"/>
    </row>
    <row r="1544" spans="2:14" hidden="1" x14ac:dyDescent="0.25">
      <c r="B1544" s="25" t="str">
        <f>IFERROR(VLOOKUP(tbEquipe[[#This Row],[Nome]],tbFOPAG[[Nome]:[Cargo]],2,0),"&lt;Selecionar Nome&gt;")</f>
        <v>&lt;Selecionar Nome&gt;</v>
      </c>
      <c r="E1544">
        <f>176*tbEquipe[[#This Row],[Alocação]]</f>
        <v>0</v>
      </c>
      <c r="F1544" s="34"/>
      <c r="G1544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4" s="1"/>
    </row>
    <row r="1545" spans="2:14" hidden="1" x14ac:dyDescent="0.25">
      <c r="B1545" s="25" t="str">
        <f>IFERROR(VLOOKUP(tbEquipe[[#This Row],[Nome]],tbFOPAG[[Nome]:[Cargo]],2,0),"&lt;Selecionar Nome&gt;")</f>
        <v>&lt;Selecionar Nome&gt;</v>
      </c>
      <c r="E1545">
        <f>176*tbEquipe[[#This Row],[Alocação]]</f>
        <v>0</v>
      </c>
      <c r="F1545" s="34"/>
      <c r="G1545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5" s="1"/>
    </row>
    <row r="1546" spans="2:14" ht="15.75" hidden="1" thickBot="1" x14ac:dyDescent="0.3">
      <c r="B1546" s="25" t="str">
        <f>IFERROR(VLOOKUP(tbEquipe[[#This Row],[Nome]],tbFOPAG[[Nome]:[Cargo]],2,0),"&lt;Selecionar Nome&gt;")</f>
        <v>&lt;Selecionar Nome&gt;</v>
      </c>
      <c r="E1546">
        <f>176*tbEquipe[[#This Row],[Alocação]]</f>
        <v>0</v>
      </c>
      <c r="F1546" s="34"/>
      <c r="G1546" s="1">
        <f>IFERROR((VLOOKUP(tbEquipe[[#This Row],[Nome]],tbFOPAG[[Nome]:[Custo Total]],3,0)*tbEquipe[[#This Row],[Alocação]]*IF(OR(tbEquipe[[#This Row],[Mês]]&gt;Configuração!$D$7,tbEquipe[[#This Row],[Mês]]=Configuração!$D$7),(1+Configuração!$D$4),1))*IF(OR(tbEquipe[[#This Row],[Mês]]&gt;Configuração!$D$8,tbEquipe[[#This Row],[Mês]]=Configuração!$D$8),(1+Configuração!$D$4),1)+(IF(tbEquipe[[#This Row],[Mês]]=(Configuração!$D$7-1),Configuração!$D$11*tbEquipe[[#This Row],[Alocação]],0))+(IF(tbEquipe[[#This Row],[Mês]]=(Configuração!$D$9),Configuração!$D$12*tbEquipe[[#This Row],[Alocação]],0)),0)</f>
        <v>0</v>
      </c>
      <c r="H1546" s="1"/>
    </row>
    <row r="1547" spans="2:14" ht="15.75" thickTop="1" x14ac:dyDescent="0.25">
      <c r="B1547" s="25"/>
      <c r="F1547" s="336"/>
      <c r="G1547" s="194">
        <f>SUBTOTAL(9,G2:G207)</f>
        <v>847815.23481038515</v>
      </c>
      <c r="H1547" s="1"/>
      <c r="I1547" s="194">
        <f>SUBTOTAL(9,I2:I207)</f>
        <v>1400958.9730570691</v>
      </c>
      <c r="J1547" s="334">
        <f>SUBTOTAL(9,J2:J207)</f>
        <v>36.193333333333328</v>
      </c>
      <c r="K1547" s="334">
        <f>SUBTOTAL(9,K2:K207)</f>
        <v>3.016111111111111</v>
      </c>
      <c r="M1547" s="192">
        <v>54.290000000000006</v>
      </c>
      <c r="N1547" s="192">
        <v>4.524166666666666</v>
      </c>
    </row>
    <row r="1549" spans="2:14" x14ac:dyDescent="0.25">
      <c r="B1549" t="s">
        <v>224</v>
      </c>
      <c r="C1549" s="176">
        <v>0.2</v>
      </c>
      <c r="J1549" s="176"/>
    </row>
    <row r="1550" spans="2:14" x14ac:dyDescent="0.25">
      <c r="B1550" t="s">
        <v>232</v>
      </c>
      <c r="C1550" s="176">
        <v>0.2</v>
      </c>
    </row>
    <row r="1551" spans="2:14" x14ac:dyDescent="0.25">
      <c r="B1551" t="s">
        <v>88</v>
      </c>
      <c r="C1551" s="176">
        <v>0.33</v>
      </c>
    </row>
    <row r="1552" spans="2:14" x14ac:dyDescent="0.25">
      <c r="B1552" t="s">
        <v>192</v>
      </c>
      <c r="C1552" s="176">
        <v>0.1</v>
      </c>
    </row>
    <row r="1553" spans="2:6" x14ac:dyDescent="0.25">
      <c r="B1553" t="s">
        <v>74</v>
      </c>
      <c r="C1553" s="176">
        <v>1</v>
      </c>
    </row>
    <row r="1554" spans="2:6" x14ac:dyDescent="0.25">
      <c r="B1554" t="s">
        <v>180</v>
      </c>
      <c r="C1554" s="176">
        <v>0.33</v>
      </c>
    </row>
    <row r="1555" spans="2:6" x14ac:dyDescent="0.25">
      <c r="B1555" t="s">
        <v>148</v>
      </c>
      <c r="C1555" s="176">
        <v>0.2</v>
      </c>
    </row>
    <row r="1556" spans="2:6" x14ac:dyDescent="0.25">
      <c r="B1556" t="s">
        <v>166</v>
      </c>
      <c r="C1556" s="176">
        <v>0.5</v>
      </c>
    </row>
    <row r="1557" spans="2:6" x14ac:dyDescent="0.25">
      <c r="B1557" t="s">
        <v>168</v>
      </c>
      <c r="C1557" s="176">
        <v>0.5</v>
      </c>
    </row>
    <row r="1558" spans="2:6" x14ac:dyDescent="0.25">
      <c r="B1558" t="s">
        <v>300</v>
      </c>
      <c r="C1558" s="176">
        <v>1</v>
      </c>
    </row>
    <row r="1559" spans="2:6" x14ac:dyDescent="0.25">
      <c r="B1559" t="s">
        <v>320</v>
      </c>
      <c r="C1559" s="176">
        <v>0.33</v>
      </c>
    </row>
    <row r="1560" spans="2:6" x14ac:dyDescent="0.25">
      <c r="B1560" t="s">
        <v>210</v>
      </c>
      <c r="C1560" s="176">
        <v>1</v>
      </c>
    </row>
    <row r="1561" spans="2:6" x14ac:dyDescent="0.25">
      <c r="B1561" t="s">
        <v>96</v>
      </c>
      <c r="C1561" s="176">
        <v>0.2</v>
      </c>
    </row>
    <row r="1562" spans="2:6" x14ac:dyDescent="0.25">
      <c r="B1562" t="s">
        <v>80</v>
      </c>
      <c r="C1562" s="176">
        <v>1</v>
      </c>
    </row>
    <row r="1563" spans="2:6" x14ac:dyDescent="0.25">
      <c r="F1563" s="2">
        <f>tbEquipe[[#Totals],[Alocação]]/12</f>
        <v>0</v>
      </c>
    </row>
    <row r="1048576" spans="13:14" x14ac:dyDescent="0.25">
      <c r="M1048576">
        <v>1.5999999999999999</v>
      </c>
      <c r="N1048576">
        <v>0.13333333333333333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62C3A9-C292-4DBC-9ABC-7A17FD4AA10C}">
          <x14:formula1>
            <xm:f>Configuração!$F$2:$F$4</xm:f>
          </x14:formula1>
          <xm:sqref>C200:C1546</xm:sqref>
        </x14:dataValidation>
        <x14:dataValidation type="list" allowBlank="1" showInputMessage="1" showErrorMessage="1" xr:uid="{8C8B7412-4F97-453C-84EE-2EC906C0B4D6}">
          <x14:formula1>
            <xm:f>DBFolha!$A$2:$A$920</xm:f>
          </x14:formula1>
          <xm:sqref>A176:A1546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BE33-BE44-4A11-B2DA-3987B04134C1}">
  <dimension ref="A1:K659"/>
  <sheetViews>
    <sheetView zoomScaleNormal="60" workbookViewId="0">
      <selection activeCell="F4" sqref="F4"/>
    </sheetView>
  </sheetViews>
  <sheetFormatPr defaultColWidth="8.85546875" defaultRowHeight="15" x14ac:dyDescent="0.25"/>
  <cols>
    <col min="1" max="1" width="25.7109375" style="50" bestFit="1" customWidth="1"/>
    <col min="2" max="2" width="29.42578125" style="51" customWidth="1"/>
    <col min="3" max="3" width="45.42578125" style="51" customWidth="1"/>
    <col min="4" max="4" width="6.7109375" style="52" bestFit="1" customWidth="1"/>
    <col min="5" max="5" width="7.7109375" style="52" customWidth="1"/>
    <col min="6" max="6" width="15.28515625" style="52" bestFit="1" customWidth="1"/>
    <col min="7" max="7" width="14.28515625" style="52" bestFit="1" customWidth="1"/>
    <col min="8" max="8" width="15.5703125" style="50" bestFit="1" customWidth="1"/>
    <col min="9" max="9" width="35.85546875" style="50" bestFit="1" customWidth="1"/>
    <col min="10" max="10" width="16.85546875" style="50" customWidth="1"/>
    <col min="11" max="11" width="17" style="50" bestFit="1" customWidth="1"/>
    <col min="12" max="16384" width="8.85546875" style="50"/>
  </cols>
  <sheetData>
    <row r="1" spans="1:11" x14ac:dyDescent="0.25">
      <c r="A1" s="50" t="s">
        <v>39</v>
      </c>
      <c r="B1" s="51" t="s">
        <v>457</v>
      </c>
      <c r="C1" s="51" t="s">
        <v>456</v>
      </c>
      <c r="D1" s="50" t="s">
        <v>452</v>
      </c>
      <c r="E1" s="50" t="s">
        <v>458</v>
      </c>
      <c r="F1" s="50" t="s">
        <v>459</v>
      </c>
      <c r="G1" s="50" t="s">
        <v>460</v>
      </c>
      <c r="H1" s="50" t="s">
        <v>69</v>
      </c>
      <c r="I1" s="50" t="s">
        <v>461</v>
      </c>
      <c r="J1" s="50" t="s">
        <v>609</v>
      </c>
    </row>
    <row r="2" spans="1:11" x14ac:dyDescent="0.25">
      <c r="A2" s="50" t="s">
        <v>46</v>
      </c>
      <c r="D2" s="52">
        <v>1</v>
      </c>
      <c r="E2" s="52">
        <v>1</v>
      </c>
      <c r="F2" s="53">
        <f>SERVICO!N10-F8+tbRubrica[[#This Row],[Coluna1]]</f>
        <v>340084.80365693022</v>
      </c>
      <c r="G2" s="53"/>
      <c r="H2" s="54">
        <f t="shared" ref="H2:H65" si="0">E2*F2</f>
        <v>340084.80365693022</v>
      </c>
      <c r="J2" s="50">
        <v>250000</v>
      </c>
      <c r="K2" s="66"/>
    </row>
    <row r="3" spans="1:11" ht="15.75" x14ac:dyDescent="0.25">
      <c r="A3" s="50" t="s">
        <v>13</v>
      </c>
      <c r="D3" s="52">
        <v>2</v>
      </c>
      <c r="E3" s="52">
        <v>1</v>
      </c>
      <c r="F3" s="53">
        <f>SERVICO!N15</f>
        <v>720254.41097079078</v>
      </c>
      <c r="G3" s="53"/>
      <c r="H3" s="54">
        <f t="shared" si="0"/>
        <v>720254.41097079078</v>
      </c>
      <c r="K3" s="82"/>
    </row>
    <row r="4" spans="1:11" x14ac:dyDescent="0.25">
      <c r="A4" s="50" t="s">
        <v>12</v>
      </c>
      <c r="D4" s="52">
        <v>3</v>
      </c>
      <c r="E4" s="52">
        <v>1</v>
      </c>
      <c r="F4" s="53">
        <f>SERVICO!N14-250000</f>
        <v>390226.14308514737</v>
      </c>
      <c r="G4" s="53"/>
      <c r="H4" s="54">
        <f t="shared" si="0"/>
        <v>390226.14308514737</v>
      </c>
      <c r="J4" s="50">
        <v>-250000</v>
      </c>
      <c r="K4" s="83"/>
    </row>
    <row r="5" spans="1:11" x14ac:dyDescent="0.25">
      <c r="A5" s="282" t="s">
        <v>53</v>
      </c>
      <c r="B5" s="283"/>
      <c r="C5" s="283"/>
      <c r="D5" s="284">
        <v>1</v>
      </c>
      <c r="E5" s="284">
        <v>1</v>
      </c>
      <c r="F5" s="285">
        <v>100000</v>
      </c>
      <c r="G5" s="285"/>
      <c r="H5" s="286">
        <f t="shared" si="0"/>
        <v>100000</v>
      </c>
      <c r="I5" s="282" t="s">
        <v>607</v>
      </c>
    </row>
    <row r="6" spans="1:11" x14ac:dyDescent="0.25">
      <c r="A6" s="50" t="s">
        <v>12</v>
      </c>
      <c r="F6" s="53"/>
      <c r="G6" s="53"/>
      <c r="H6" s="54">
        <f t="shared" si="0"/>
        <v>0</v>
      </c>
    </row>
    <row r="7" spans="1:11" x14ac:dyDescent="0.25">
      <c r="A7" s="50" t="s">
        <v>53</v>
      </c>
      <c r="B7" s="51" t="s">
        <v>600</v>
      </c>
      <c r="D7" s="52">
        <v>1</v>
      </c>
      <c r="E7" s="52">
        <v>1</v>
      </c>
      <c r="F7" s="53"/>
      <c r="G7" s="53"/>
      <c r="H7" s="54">
        <f t="shared" si="0"/>
        <v>0</v>
      </c>
      <c r="I7" s="50" t="s">
        <v>615</v>
      </c>
    </row>
    <row r="8" spans="1:11" x14ac:dyDescent="0.25">
      <c r="A8" s="50" t="s">
        <v>53</v>
      </c>
      <c r="B8" s="51" t="s">
        <v>600</v>
      </c>
      <c r="D8" s="52">
        <v>2</v>
      </c>
      <c r="E8" s="52">
        <v>1</v>
      </c>
      <c r="F8" s="53">
        <v>150000</v>
      </c>
      <c r="G8" s="53"/>
      <c r="H8" s="54">
        <f t="shared" si="0"/>
        <v>150000</v>
      </c>
      <c r="I8" s="50" t="s">
        <v>615</v>
      </c>
    </row>
    <row r="9" spans="1:11" x14ac:dyDescent="0.25">
      <c r="F9" s="53"/>
      <c r="G9" s="53"/>
      <c r="H9" s="54"/>
    </row>
    <row r="10" spans="1:11" x14ac:dyDescent="0.25">
      <c r="F10" s="53"/>
      <c r="G10" s="53"/>
      <c r="H10" s="54"/>
    </row>
    <row r="11" spans="1:11" x14ac:dyDescent="0.25">
      <c r="F11" s="53"/>
      <c r="G11" s="53"/>
      <c r="H11" s="54">
        <f t="shared" si="0"/>
        <v>0</v>
      </c>
    </row>
    <row r="12" spans="1:11" x14ac:dyDescent="0.25">
      <c r="F12" s="53"/>
      <c r="G12" s="53"/>
      <c r="H12" s="54">
        <f t="shared" si="0"/>
        <v>0</v>
      </c>
    </row>
    <row r="13" spans="1:11" x14ac:dyDescent="0.25">
      <c r="F13" s="53"/>
      <c r="G13" s="53"/>
      <c r="H13" s="54">
        <f t="shared" si="0"/>
        <v>0</v>
      </c>
    </row>
    <row r="14" spans="1:11" x14ac:dyDescent="0.25">
      <c r="F14" s="53"/>
      <c r="G14" s="53"/>
      <c r="H14" s="54">
        <f t="shared" si="0"/>
        <v>0</v>
      </c>
    </row>
    <row r="15" spans="1:11" x14ac:dyDescent="0.25">
      <c r="F15" s="53"/>
      <c r="G15" s="53"/>
      <c r="H15" s="54">
        <f t="shared" si="0"/>
        <v>0</v>
      </c>
    </row>
    <row r="16" spans="1:11" x14ac:dyDescent="0.25">
      <c r="F16" s="53"/>
      <c r="G16" s="53"/>
      <c r="H16" s="54">
        <f t="shared" si="0"/>
        <v>0</v>
      </c>
    </row>
    <row r="17" spans="6:8" x14ac:dyDescent="0.25">
      <c r="F17" s="53"/>
      <c r="G17" s="53"/>
      <c r="H17" s="54">
        <f t="shared" si="0"/>
        <v>0</v>
      </c>
    </row>
    <row r="18" spans="6:8" x14ac:dyDescent="0.25">
      <c r="F18" s="53"/>
      <c r="G18" s="53"/>
      <c r="H18" s="54">
        <f t="shared" si="0"/>
        <v>0</v>
      </c>
    </row>
    <row r="19" spans="6:8" x14ac:dyDescent="0.25">
      <c r="F19" s="53"/>
      <c r="G19" s="53"/>
      <c r="H19" s="54">
        <f t="shared" si="0"/>
        <v>0</v>
      </c>
    </row>
    <row r="20" spans="6:8" x14ac:dyDescent="0.25">
      <c r="F20" s="53"/>
      <c r="G20" s="53"/>
      <c r="H20" s="54">
        <f t="shared" si="0"/>
        <v>0</v>
      </c>
    </row>
    <row r="21" spans="6:8" x14ac:dyDescent="0.25">
      <c r="F21" s="53"/>
      <c r="G21" s="53"/>
      <c r="H21" s="54">
        <f t="shared" si="0"/>
        <v>0</v>
      </c>
    </row>
    <row r="22" spans="6:8" x14ac:dyDescent="0.25">
      <c r="F22" s="53"/>
      <c r="G22" s="53"/>
      <c r="H22" s="54">
        <f t="shared" si="0"/>
        <v>0</v>
      </c>
    </row>
    <row r="23" spans="6:8" x14ac:dyDescent="0.25">
      <c r="F23" s="53"/>
      <c r="G23" s="53"/>
      <c r="H23" s="54">
        <f t="shared" si="0"/>
        <v>0</v>
      </c>
    </row>
    <row r="24" spans="6:8" x14ac:dyDescent="0.25">
      <c r="F24" s="53"/>
      <c r="G24" s="53"/>
      <c r="H24" s="54">
        <f t="shared" si="0"/>
        <v>0</v>
      </c>
    </row>
    <row r="25" spans="6:8" x14ac:dyDescent="0.25">
      <c r="F25" s="53"/>
      <c r="G25" s="53"/>
      <c r="H25" s="54">
        <f t="shared" si="0"/>
        <v>0</v>
      </c>
    </row>
    <row r="26" spans="6:8" x14ac:dyDescent="0.25">
      <c r="F26" s="53"/>
      <c r="G26" s="53"/>
      <c r="H26" s="54">
        <f t="shared" si="0"/>
        <v>0</v>
      </c>
    </row>
    <row r="27" spans="6:8" x14ac:dyDescent="0.25">
      <c r="F27" s="53"/>
      <c r="G27" s="53"/>
      <c r="H27" s="54">
        <f t="shared" si="0"/>
        <v>0</v>
      </c>
    </row>
    <row r="28" spans="6:8" x14ac:dyDescent="0.25">
      <c r="F28" s="53"/>
      <c r="G28" s="53"/>
      <c r="H28" s="54">
        <f t="shared" si="0"/>
        <v>0</v>
      </c>
    </row>
    <row r="29" spans="6:8" x14ac:dyDescent="0.25">
      <c r="F29" s="53"/>
      <c r="G29" s="53"/>
      <c r="H29" s="54">
        <f t="shared" si="0"/>
        <v>0</v>
      </c>
    </row>
    <row r="30" spans="6:8" x14ac:dyDescent="0.25">
      <c r="F30" s="53"/>
      <c r="G30" s="53"/>
      <c r="H30" s="54">
        <f t="shared" si="0"/>
        <v>0</v>
      </c>
    </row>
    <row r="31" spans="6:8" x14ac:dyDescent="0.25">
      <c r="F31" s="53"/>
      <c r="G31" s="53"/>
      <c r="H31" s="54">
        <f t="shared" si="0"/>
        <v>0</v>
      </c>
    </row>
    <row r="32" spans="6:8" x14ac:dyDescent="0.25">
      <c r="F32" s="53"/>
      <c r="G32" s="53"/>
      <c r="H32" s="54">
        <f t="shared" si="0"/>
        <v>0</v>
      </c>
    </row>
    <row r="33" spans="6:8" x14ac:dyDescent="0.25">
      <c r="F33" s="53"/>
      <c r="G33" s="53"/>
      <c r="H33" s="54">
        <f t="shared" si="0"/>
        <v>0</v>
      </c>
    </row>
    <row r="34" spans="6:8" x14ac:dyDescent="0.25">
      <c r="F34" s="53"/>
      <c r="G34" s="53"/>
      <c r="H34" s="54">
        <f t="shared" si="0"/>
        <v>0</v>
      </c>
    </row>
    <row r="35" spans="6:8" x14ac:dyDescent="0.25">
      <c r="F35" s="53"/>
      <c r="G35" s="53"/>
      <c r="H35" s="54">
        <f t="shared" si="0"/>
        <v>0</v>
      </c>
    </row>
    <row r="36" spans="6:8" x14ac:dyDescent="0.25">
      <c r="F36" s="53"/>
      <c r="G36" s="53"/>
      <c r="H36" s="54">
        <f t="shared" si="0"/>
        <v>0</v>
      </c>
    </row>
    <row r="37" spans="6:8" x14ac:dyDescent="0.25">
      <c r="F37" s="53"/>
      <c r="G37" s="53"/>
      <c r="H37" s="54">
        <f t="shared" si="0"/>
        <v>0</v>
      </c>
    </row>
    <row r="38" spans="6:8" x14ac:dyDescent="0.25">
      <c r="F38" s="53"/>
      <c r="G38" s="53"/>
      <c r="H38" s="54">
        <f t="shared" si="0"/>
        <v>0</v>
      </c>
    </row>
    <row r="39" spans="6:8" x14ac:dyDescent="0.25">
      <c r="F39" s="53"/>
      <c r="G39" s="53"/>
      <c r="H39" s="54">
        <f t="shared" si="0"/>
        <v>0</v>
      </c>
    </row>
    <row r="40" spans="6:8" x14ac:dyDescent="0.25">
      <c r="F40" s="53"/>
      <c r="G40" s="53"/>
      <c r="H40" s="54">
        <f t="shared" si="0"/>
        <v>0</v>
      </c>
    </row>
    <row r="41" spans="6:8" x14ac:dyDescent="0.25">
      <c r="F41" s="53"/>
      <c r="G41" s="53"/>
      <c r="H41" s="54">
        <f t="shared" si="0"/>
        <v>0</v>
      </c>
    </row>
    <row r="42" spans="6:8" x14ac:dyDescent="0.25">
      <c r="F42" s="53"/>
      <c r="G42" s="53"/>
      <c r="H42" s="54">
        <f t="shared" si="0"/>
        <v>0</v>
      </c>
    </row>
    <row r="43" spans="6:8" x14ac:dyDescent="0.25">
      <c r="F43" s="53"/>
      <c r="G43" s="53"/>
      <c r="H43" s="54">
        <f t="shared" si="0"/>
        <v>0</v>
      </c>
    </row>
    <row r="44" spans="6:8" x14ac:dyDescent="0.25">
      <c r="F44" s="53"/>
      <c r="G44" s="53"/>
      <c r="H44" s="54">
        <f t="shared" si="0"/>
        <v>0</v>
      </c>
    </row>
    <row r="45" spans="6:8" x14ac:dyDescent="0.25">
      <c r="F45" s="53"/>
      <c r="G45" s="53"/>
      <c r="H45" s="54">
        <f t="shared" si="0"/>
        <v>0</v>
      </c>
    </row>
    <row r="46" spans="6:8" x14ac:dyDescent="0.25">
      <c r="F46" s="53"/>
      <c r="G46" s="53"/>
      <c r="H46" s="54">
        <f t="shared" si="0"/>
        <v>0</v>
      </c>
    </row>
    <row r="47" spans="6:8" x14ac:dyDescent="0.25">
      <c r="F47" s="53"/>
      <c r="G47" s="53"/>
      <c r="H47" s="54">
        <f t="shared" si="0"/>
        <v>0</v>
      </c>
    </row>
    <row r="48" spans="6:8" x14ac:dyDescent="0.25">
      <c r="F48" s="53"/>
      <c r="G48" s="53"/>
      <c r="H48" s="54">
        <f t="shared" si="0"/>
        <v>0</v>
      </c>
    </row>
    <row r="49" spans="6:8" x14ac:dyDescent="0.25">
      <c r="F49" s="53"/>
      <c r="G49" s="53"/>
      <c r="H49" s="54">
        <f t="shared" si="0"/>
        <v>0</v>
      </c>
    </row>
    <row r="50" spans="6:8" x14ac:dyDescent="0.25">
      <c r="F50" s="53"/>
      <c r="G50" s="53"/>
      <c r="H50" s="54">
        <f t="shared" si="0"/>
        <v>0</v>
      </c>
    </row>
    <row r="51" spans="6:8" x14ac:dyDescent="0.25">
      <c r="F51" s="53"/>
      <c r="G51" s="53"/>
      <c r="H51" s="54">
        <f t="shared" si="0"/>
        <v>0</v>
      </c>
    </row>
    <row r="52" spans="6:8" x14ac:dyDescent="0.25">
      <c r="F52" s="53"/>
      <c r="G52" s="53"/>
      <c r="H52" s="54">
        <f t="shared" si="0"/>
        <v>0</v>
      </c>
    </row>
    <row r="53" spans="6:8" x14ac:dyDescent="0.25">
      <c r="F53" s="53"/>
      <c r="G53" s="53"/>
      <c r="H53" s="54">
        <f t="shared" si="0"/>
        <v>0</v>
      </c>
    </row>
    <row r="54" spans="6:8" x14ac:dyDescent="0.25">
      <c r="F54" s="53"/>
      <c r="G54" s="53"/>
      <c r="H54" s="54">
        <f t="shared" si="0"/>
        <v>0</v>
      </c>
    </row>
    <row r="55" spans="6:8" x14ac:dyDescent="0.25">
      <c r="F55" s="53"/>
      <c r="G55" s="53"/>
      <c r="H55" s="54">
        <f t="shared" si="0"/>
        <v>0</v>
      </c>
    </row>
    <row r="56" spans="6:8" x14ac:dyDescent="0.25">
      <c r="F56" s="53"/>
      <c r="G56" s="53"/>
      <c r="H56" s="54">
        <f t="shared" si="0"/>
        <v>0</v>
      </c>
    </row>
    <row r="57" spans="6:8" x14ac:dyDescent="0.25">
      <c r="F57" s="53"/>
      <c r="G57" s="53"/>
      <c r="H57" s="54">
        <f t="shared" si="0"/>
        <v>0</v>
      </c>
    </row>
    <row r="58" spans="6:8" x14ac:dyDescent="0.25">
      <c r="F58" s="53"/>
      <c r="G58" s="53"/>
      <c r="H58" s="54">
        <f t="shared" si="0"/>
        <v>0</v>
      </c>
    </row>
    <row r="59" spans="6:8" x14ac:dyDescent="0.25">
      <c r="F59" s="53"/>
      <c r="G59" s="53"/>
      <c r="H59" s="54">
        <f t="shared" si="0"/>
        <v>0</v>
      </c>
    </row>
    <row r="60" spans="6:8" x14ac:dyDescent="0.25">
      <c r="F60" s="53"/>
      <c r="G60" s="53"/>
      <c r="H60" s="54">
        <f t="shared" si="0"/>
        <v>0</v>
      </c>
    </row>
    <row r="61" spans="6:8" x14ac:dyDescent="0.25">
      <c r="F61" s="53"/>
      <c r="G61" s="53"/>
      <c r="H61" s="54">
        <f t="shared" si="0"/>
        <v>0</v>
      </c>
    </row>
    <row r="62" spans="6:8" x14ac:dyDescent="0.25">
      <c r="F62" s="53"/>
      <c r="G62" s="53"/>
      <c r="H62" s="54">
        <f t="shared" si="0"/>
        <v>0</v>
      </c>
    </row>
    <row r="63" spans="6:8" x14ac:dyDescent="0.25">
      <c r="F63" s="53"/>
      <c r="G63" s="53"/>
      <c r="H63" s="54">
        <f t="shared" si="0"/>
        <v>0</v>
      </c>
    </row>
    <row r="64" spans="6:8" x14ac:dyDescent="0.25">
      <c r="F64" s="53"/>
      <c r="G64" s="53"/>
      <c r="H64" s="54">
        <f t="shared" si="0"/>
        <v>0</v>
      </c>
    </row>
    <row r="65" spans="6:8" x14ac:dyDescent="0.25">
      <c r="F65" s="53"/>
      <c r="G65" s="53"/>
      <c r="H65" s="54">
        <f t="shared" si="0"/>
        <v>0</v>
      </c>
    </row>
    <row r="66" spans="6:8" x14ac:dyDescent="0.25">
      <c r="F66" s="53"/>
      <c r="G66" s="53"/>
      <c r="H66" s="54">
        <f t="shared" ref="H66:H129" si="1">E66*F66</f>
        <v>0</v>
      </c>
    </row>
    <row r="67" spans="6:8" x14ac:dyDescent="0.25">
      <c r="F67" s="53"/>
      <c r="G67" s="53"/>
      <c r="H67" s="54">
        <f t="shared" si="1"/>
        <v>0</v>
      </c>
    </row>
    <row r="68" spans="6:8" x14ac:dyDescent="0.25">
      <c r="F68" s="53"/>
      <c r="G68" s="53"/>
      <c r="H68" s="54">
        <f t="shared" si="1"/>
        <v>0</v>
      </c>
    </row>
    <row r="69" spans="6:8" x14ac:dyDescent="0.25">
      <c r="F69" s="53"/>
      <c r="G69" s="53"/>
      <c r="H69" s="54">
        <f t="shared" si="1"/>
        <v>0</v>
      </c>
    </row>
    <row r="70" spans="6:8" x14ac:dyDescent="0.25">
      <c r="F70" s="53"/>
      <c r="G70" s="53"/>
      <c r="H70" s="54">
        <f t="shared" si="1"/>
        <v>0</v>
      </c>
    </row>
    <row r="71" spans="6:8" x14ac:dyDescent="0.25">
      <c r="F71" s="53"/>
      <c r="G71" s="53"/>
      <c r="H71" s="54">
        <f t="shared" si="1"/>
        <v>0</v>
      </c>
    </row>
    <row r="72" spans="6:8" x14ac:dyDescent="0.25">
      <c r="F72" s="53"/>
      <c r="G72" s="53"/>
      <c r="H72" s="54">
        <f t="shared" si="1"/>
        <v>0</v>
      </c>
    </row>
    <row r="73" spans="6:8" x14ac:dyDescent="0.25">
      <c r="F73" s="53"/>
      <c r="G73" s="53"/>
      <c r="H73" s="54">
        <f t="shared" si="1"/>
        <v>0</v>
      </c>
    </row>
    <row r="74" spans="6:8" x14ac:dyDescent="0.25">
      <c r="F74" s="53"/>
      <c r="G74" s="53"/>
      <c r="H74" s="54">
        <f t="shared" si="1"/>
        <v>0</v>
      </c>
    </row>
    <row r="75" spans="6:8" x14ac:dyDescent="0.25">
      <c r="F75" s="53"/>
      <c r="G75" s="53"/>
      <c r="H75" s="54">
        <f t="shared" si="1"/>
        <v>0</v>
      </c>
    </row>
    <row r="76" spans="6:8" x14ac:dyDescent="0.25">
      <c r="F76" s="53"/>
      <c r="G76" s="53"/>
      <c r="H76" s="54">
        <f t="shared" si="1"/>
        <v>0</v>
      </c>
    </row>
    <row r="77" spans="6:8" x14ac:dyDescent="0.25">
      <c r="F77" s="53"/>
      <c r="G77" s="53"/>
      <c r="H77" s="54">
        <f t="shared" si="1"/>
        <v>0</v>
      </c>
    </row>
    <row r="78" spans="6:8" x14ac:dyDescent="0.25">
      <c r="F78" s="53"/>
      <c r="G78" s="53"/>
      <c r="H78" s="54">
        <f t="shared" si="1"/>
        <v>0</v>
      </c>
    </row>
    <row r="79" spans="6:8" x14ac:dyDescent="0.25">
      <c r="F79" s="53"/>
      <c r="G79" s="53"/>
      <c r="H79" s="54">
        <f t="shared" si="1"/>
        <v>0</v>
      </c>
    </row>
    <row r="80" spans="6:8" x14ac:dyDescent="0.25">
      <c r="F80" s="53"/>
      <c r="G80" s="53"/>
      <c r="H80" s="54">
        <f t="shared" si="1"/>
        <v>0</v>
      </c>
    </row>
    <row r="81" spans="6:8" x14ac:dyDescent="0.25">
      <c r="F81" s="53"/>
      <c r="G81" s="53"/>
      <c r="H81" s="54">
        <f t="shared" si="1"/>
        <v>0</v>
      </c>
    </row>
    <row r="82" spans="6:8" x14ac:dyDescent="0.25">
      <c r="F82" s="53"/>
      <c r="G82" s="53"/>
      <c r="H82" s="54">
        <f t="shared" si="1"/>
        <v>0</v>
      </c>
    </row>
    <row r="83" spans="6:8" x14ac:dyDescent="0.25">
      <c r="F83" s="53"/>
      <c r="G83" s="53"/>
      <c r="H83" s="54">
        <f t="shared" si="1"/>
        <v>0</v>
      </c>
    </row>
    <row r="84" spans="6:8" x14ac:dyDescent="0.25">
      <c r="F84" s="53"/>
      <c r="G84" s="53"/>
      <c r="H84" s="54">
        <f t="shared" si="1"/>
        <v>0</v>
      </c>
    </row>
    <row r="85" spans="6:8" x14ac:dyDescent="0.25">
      <c r="F85" s="53"/>
      <c r="G85" s="53"/>
      <c r="H85" s="54">
        <f t="shared" si="1"/>
        <v>0</v>
      </c>
    </row>
    <row r="86" spans="6:8" x14ac:dyDescent="0.25">
      <c r="F86" s="53"/>
      <c r="G86" s="53"/>
      <c r="H86" s="54">
        <f t="shared" si="1"/>
        <v>0</v>
      </c>
    </row>
    <row r="87" spans="6:8" x14ac:dyDescent="0.25">
      <c r="F87" s="53"/>
      <c r="G87" s="53"/>
      <c r="H87" s="54">
        <f t="shared" si="1"/>
        <v>0</v>
      </c>
    </row>
    <row r="88" spans="6:8" x14ac:dyDescent="0.25">
      <c r="F88" s="53"/>
      <c r="G88" s="53"/>
      <c r="H88" s="54">
        <f t="shared" si="1"/>
        <v>0</v>
      </c>
    </row>
    <row r="89" spans="6:8" x14ac:dyDescent="0.25">
      <c r="F89" s="53"/>
      <c r="G89" s="53"/>
      <c r="H89" s="54">
        <f t="shared" si="1"/>
        <v>0</v>
      </c>
    </row>
    <row r="90" spans="6:8" x14ac:dyDescent="0.25">
      <c r="F90" s="53"/>
      <c r="G90" s="53"/>
      <c r="H90" s="54">
        <f t="shared" si="1"/>
        <v>0</v>
      </c>
    </row>
    <row r="91" spans="6:8" x14ac:dyDescent="0.25">
      <c r="F91" s="53"/>
      <c r="G91" s="53"/>
      <c r="H91" s="54">
        <f t="shared" si="1"/>
        <v>0</v>
      </c>
    </row>
    <row r="92" spans="6:8" x14ac:dyDescent="0.25">
      <c r="F92" s="53"/>
      <c r="G92" s="53"/>
      <c r="H92" s="54">
        <f t="shared" si="1"/>
        <v>0</v>
      </c>
    </row>
    <row r="93" spans="6:8" x14ac:dyDescent="0.25">
      <c r="F93" s="53"/>
      <c r="G93" s="53"/>
      <c r="H93" s="54">
        <f t="shared" si="1"/>
        <v>0</v>
      </c>
    </row>
    <row r="94" spans="6:8" x14ac:dyDescent="0.25">
      <c r="F94" s="53"/>
      <c r="G94" s="53"/>
      <c r="H94" s="54">
        <f t="shared" si="1"/>
        <v>0</v>
      </c>
    </row>
    <row r="95" spans="6:8" x14ac:dyDescent="0.25">
      <c r="F95" s="53"/>
      <c r="G95" s="53"/>
      <c r="H95" s="54">
        <f t="shared" si="1"/>
        <v>0</v>
      </c>
    </row>
    <row r="96" spans="6:8" x14ac:dyDescent="0.25">
      <c r="F96" s="53"/>
      <c r="G96" s="53"/>
      <c r="H96" s="54">
        <f t="shared" si="1"/>
        <v>0</v>
      </c>
    </row>
    <row r="97" spans="6:8" x14ac:dyDescent="0.25">
      <c r="F97" s="53"/>
      <c r="G97" s="53"/>
      <c r="H97" s="54">
        <f t="shared" si="1"/>
        <v>0</v>
      </c>
    </row>
    <row r="98" spans="6:8" x14ac:dyDescent="0.25">
      <c r="F98" s="53"/>
      <c r="G98" s="53"/>
      <c r="H98" s="54">
        <f t="shared" si="1"/>
        <v>0</v>
      </c>
    </row>
    <row r="99" spans="6:8" x14ac:dyDescent="0.25">
      <c r="F99" s="53"/>
      <c r="G99" s="53"/>
      <c r="H99" s="54">
        <f t="shared" si="1"/>
        <v>0</v>
      </c>
    </row>
    <row r="100" spans="6:8" x14ac:dyDescent="0.25">
      <c r="F100" s="53"/>
      <c r="G100" s="53"/>
      <c r="H100" s="54">
        <f t="shared" si="1"/>
        <v>0</v>
      </c>
    </row>
    <row r="101" spans="6:8" x14ac:dyDescent="0.25">
      <c r="F101" s="53"/>
      <c r="G101" s="53"/>
      <c r="H101" s="54">
        <f t="shared" si="1"/>
        <v>0</v>
      </c>
    </row>
    <row r="102" spans="6:8" x14ac:dyDescent="0.25">
      <c r="F102" s="53"/>
      <c r="G102" s="53"/>
      <c r="H102" s="54">
        <f t="shared" si="1"/>
        <v>0</v>
      </c>
    </row>
    <row r="103" spans="6:8" x14ac:dyDescent="0.25">
      <c r="F103" s="53"/>
      <c r="G103" s="53"/>
      <c r="H103" s="54">
        <f t="shared" si="1"/>
        <v>0</v>
      </c>
    </row>
    <row r="104" spans="6:8" x14ac:dyDescent="0.25">
      <c r="F104" s="53"/>
      <c r="G104" s="53"/>
      <c r="H104" s="54">
        <f t="shared" si="1"/>
        <v>0</v>
      </c>
    </row>
    <row r="105" spans="6:8" x14ac:dyDescent="0.25">
      <c r="F105" s="53"/>
      <c r="G105" s="53"/>
      <c r="H105" s="54">
        <f t="shared" si="1"/>
        <v>0</v>
      </c>
    </row>
    <row r="106" spans="6:8" x14ac:dyDescent="0.25">
      <c r="F106" s="53"/>
      <c r="G106" s="53"/>
      <c r="H106" s="54">
        <f t="shared" si="1"/>
        <v>0</v>
      </c>
    </row>
    <row r="107" spans="6:8" x14ac:dyDescent="0.25">
      <c r="F107" s="53"/>
      <c r="G107" s="53"/>
      <c r="H107" s="54">
        <f t="shared" si="1"/>
        <v>0</v>
      </c>
    </row>
    <row r="108" spans="6:8" x14ac:dyDescent="0.25">
      <c r="F108" s="53"/>
      <c r="G108" s="53"/>
      <c r="H108" s="54">
        <f t="shared" si="1"/>
        <v>0</v>
      </c>
    </row>
    <row r="109" spans="6:8" x14ac:dyDescent="0.25">
      <c r="F109" s="53"/>
      <c r="G109" s="53"/>
      <c r="H109" s="54">
        <f t="shared" si="1"/>
        <v>0</v>
      </c>
    </row>
    <row r="110" spans="6:8" x14ac:dyDescent="0.25">
      <c r="F110" s="53"/>
      <c r="G110" s="53"/>
      <c r="H110" s="54">
        <f t="shared" si="1"/>
        <v>0</v>
      </c>
    </row>
    <row r="111" spans="6:8" x14ac:dyDescent="0.25">
      <c r="F111" s="53"/>
      <c r="G111" s="53"/>
      <c r="H111" s="54">
        <f t="shared" si="1"/>
        <v>0</v>
      </c>
    </row>
    <row r="112" spans="6:8" x14ac:dyDescent="0.25">
      <c r="F112" s="53"/>
      <c r="G112" s="53"/>
      <c r="H112" s="54">
        <f t="shared" si="1"/>
        <v>0</v>
      </c>
    </row>
    <row r="113" spans="6:8" x14ac:dyDescent="0.25">
      <c r="F113" s="53"/>
      <c r="G113" s="53"/>
      <c r="H113" s="54">
        <f t="shared" si="1"/>
        <v>0</v>
      </c>
    </row>
    <row r="114" spans="6:8" x14ac:dyDescent="0.25">
      <c r="F114" s="53"/>
      <c r="G114" s="53"/>
      <c r="H114" s="54">
        <f t="shared" si="1"/>
        <v>0</v>
      </c>
    </row>
    <row r="115" spans="6:8" x14ac:dyDescent="0.25">
      <c r="F115" s="53"/>
      <c r="G115" s="53"/>
      <c r="H115" s="54">
        <f t="shared" si="1"/>
        <v>0</v>
      </c>
    </row>
    <row r="116" spans="6:8" x14ac:dyDescent="0.25">
      <c r="F116" s="53"/>
      <c r="G116" s="53"/>
      <c r="H116" s="54">
        <f t="shared" si="1"/>
        <v>0</v>
      </c>
    </row>
    <row r="117" spans="6:8" x14ac:dyDescent="0.25">
      <c r="F117" s="53"/>
      <c r="G117" s="53"/>
      <c r="H117" s="54">
        <f t="shared" si="1"/>
        <v>0</v>
      </c>
    </row>
    <row r="118" spans="6:8" x14ac:dyDescent="0.25">
      <c r="F118" s="53"/>
      <c r="G118" s="53"/>
      <c r="H118" s="54">
        <f t="shared" si="1"/>
        <v>0</v>
      </c>
    </row>
    <row r="119" spans="6:8" x14ac:dyDescent="0.25">
      <c r="F119" s="53"/>
      <c r="G119" s="53"/>
      <c r="H119" s="54">
        <f t="shared" si="1"/>
        <v>0</v>
      </c>
    </row>
    <row r="120" spans="6:8" x14ac:dyDescent="0.25">
      <c r="F120" s="53"/>
      <c r="G120" s="53"/>
      <c r="H120" s="54">
        <f t="shared" si="1"/>
        <v>0</v>
      </c>
    </row>
    <row r="121" spans="6:8" x14ac:dyDescent="0.25">
      <c r="F121" s="53"/>
      <c r="G121" s="53"/>
      <c r="H121" s="54">
        <f t="shared" si="1"/>
        <v>0</v>
      </c>
    </row>
    <row r="122" spans="6:8" x14ac:dyDescent="0.25">
      <c r="F122" s="53"/>
      <c r="G122" s="53"/>
      <c r="H122" s="54">
        <f t="shared" si="1"/>
        <v>0</v>
      </c>
    </row>
    <row r="123" spans="6:8" x14ac:dyDescent="0.25">
      <c r="F123" s="53"/>
      <c r="G123" s="53"/>
      <c r="H123" s="54">
        <f t="shared" si="1"/>
        <v>0</v>
      </c>
    </row>
    <row r="124" spans="6:8" x14ac:dyDescent="0.25">
      <c r="F124" s="53"/>
      <c r="G124" s="53"/>
      <c r="H124" s="54">
        <f t="shared" si="1"/>
        <v>0</v>
      </c>
    </row>
    <row r="125" spans="6:8" x14ac:dyDescent="0.25">
      <c r="F125" s="53"/>
      <c r="G125" s="53"/>
      <c r="H125" s="54">
        <f t="shared" si="1"/>
        <v>0</v>
      </c>
    </row>
    <row r="126" spans="6:8" x14ac:dyDescent="0.25">
      <c r="F126" s="53"/>
      <c r="G126" s="53"/>
      <c r="H126" s="54">
        <f t="shared" si="1"/>
        <v>0</v>
      </c>
    </row>
    <row r="127" spans="6:8" x14ac:dyDescent="0.25">
      <c r="F127" s="53"/>
      <c r="G127" s="53"/>
      <c r="H127" s="54">
        <f t="shared" si="1"/>
        <v>0</v>
      </c>
    </row>
    <row r="128" spans="6:8" x14ac:dyDescent="0.25">
      <c r="F128" s="53"/>
      <c r="G128" s="53"/>
      <c r="H128" s="54">
        <f t="shared" si="1"/>
        <v>0</v>
      </c>
    </row>
    <row r="129" spans="6:8" x14ac:dyDescent="0.25">
      <c r="F129" s="53"/>
      <c r="G129" s="53"/>
      <c r="H129" s="54">
        <f t="shared" si="1"/>
        <v>0</v>
      </c>
    </row>
    <row r="130" spans="6:8" x14ac:dyDescent="0.25">
      <c r="F130" s="53"/>
      <c r="G130" s="53"/>
      <c r="H130" s="54">
        <f t="shared" ref="H130:H193" si="2">E130*F130</f>
        <v>0</v>
      </c>
    </row>
    <row r="131" spans="6:8" x14ac:dyDescent="0.25">
      <c r="F131" s="53"/>
      <c r="G131" s="53"/>
      <c r="H131" s="54">
        <f t="shared" si="2"/>
        <v>0</v>
      </c>
    </row>
    <row r="132" spans="6:8" x14ac:dyDescent="0.25">
      <c r="F132" s="53"/>
      <c r="G132" s="53"/>
      <c r="H132" s="54">
        <f t="shared" si="2"/>
        <v>0</v>
      </c>
    </row>
    <row r="133" spans="6:8" x14ac:dyDescent="0.25">
      <c r="F133" s="53"/>
      <c r="G133" s="53"/>
      <c r="H133" s="54">
        <f t="shared" si="2"/>
        <v>0</v>
      </c>
    </row>
    <row r="134" spans="6:8" x14ac:dyDescent="0.25">
      <c r="F134" s="53"/>
      <c r="G134" s="53"/>
      <c r="H134" s="54">
        <f t="shared" si="2"/>
        <v>0</v>
      </c>
    </row>
    <row r="135" spans="6:8" x14ac:dyDescent="0.25">
      <c r="F135" s="53"/>
      <c r="G135" s="53"/>
      <c r="H135" s="54">
        <f t="shared" si="2"/>
        <v>0</v>
      </c>
    </row>
    <row r="136" spans="6:8" x14ac:dyDescent="0.25">
      <c r="F136" s="53"/>
      <c r="G136" s="53"/>
      <c r="H136" s="54">
        <f t="shared" si="2"/>
        <v>0</v>
      </c>
    </row>
    <row r="137" spans="6:8" x14ac:dyDescent="0.25">
      <c r="F137" s="53"/>
      <c r="G137" s="53"/>
      <c r="H137" s="54">
        <f t="shared" si="2"/>
        <v>0</v>
      </c>
    </row>
    <row r="138" spans="6:8" x14ac:dyDescent="0.25">
      <c r="F138" s="53"/>
      <c r="G138" s="53"/>
      <c r="H138" s="54">
        <f t="shared" si="2"/>
        <v>0</v>
      </c>
    </row>
    <row r="139" spans="6:8" x14ac:dyDescent="0.25">
      <c r="F139" s="53"/>
      <c r="G139" s="53"/>
      <c r="H139" s="54">
        <f t="shared" si="2"/>
        <v>0</v>
      </c>
    </row>
    <row r="140" spans="6:8" x14ac:dyDescent="0.25">
      <c r="F140" s="53"/>
      <c r="G140" s="53"/>
      <c r="H140" s="54">
        <f t="shared" si="2"/>
        <v>0</v>
      </c>
    </row>
    <row r="141" spans="6:8" x14ac:dyDescent="0.25">
      <c r="F141" s="53"/>
      <c r="G141" s="53"/>
      <c r="H141" s="54">
        <f t="shared" si="2"/>
        <v>0</v>
      </c>
    </row>
    <row r="142" spans="6:8" x14ac:dyDescent="0.25">
      <c r="F142" s="53"/>
      <c r="G142" s="53"/>
      <c r="H142" s="54">
        <f t="shared" si="2"/>
        <v>0</v>
      </c>
    </row>
    <row r="143" spans="6:8" x14ac:dyDescent="0.25">
      <c r="F143" s="53"/>
      <c r="G143" s="53"/>
      <c r="H143" s="54">
        <f t="shared" si="2"/>
        <v>0</v>
      </c>
    </row>
    <row r="144" spans="6:8" x14ac:dyDescent="0.25">
      <c r="F144" s="53"/>
      <c r="G144" s="53"/>
      <c r="H144" s="54">
        <f t="shared" si="2"/>
        <v>0</v>
      </c>
    </row>
    <row r="145" spans="6:8" x14ac:dyDescent="0.25">
      <c r="F145" s="53"/>
      <c r="G145" s="53"/>
      <c r="H145" s="54">
        <f t="shared" si="2"/>
        <v>0</v>
      </c>
    </row>
    <row r="146" spans="6:8" x14ac:dyDescent="0.25">
      <c r="F146" s="53"/>
      <c r="G146" s="53"/>
      <c r="H146" s="54">
        <f t="shared" si="2"/>
        <v>0</v>
      </c>
    </row>
    <row r="147" spans="6:8" x14ac:dyDescent="0.25">
      <c r="F147" s="53"/>
      <c r="G147" s="53"/>
      <c r="H147" s="54">
        <f t="shared" si="2"/>
        <v>0</v>
      </c>
    </row>
    <row r="148" spans="6:8" x14ac:dyDescent="0.25">
      <c r="F148" s="53"/>
      <c r="G148" s="53"/>
      <c r="H148" s="54">
        <f t="shared" si="2"/>
        <v>0</v>
      </c>
    </row>
    <row r="149" spans="6:8" x14ac:dyDescent="0.25">
      <c r="F149" s="53"/>
      <c r="G149" s="53"/>
      <c r="H149" s="54">
        <f t="shared" si="2"/>
        <v>0</v>
      </c>
    </row>
    <row r="150" spans="6:8" x14ac:dyDescent="0.25">
      <c r="F150" s="53"/>
      <c r="G150" s="53"/>
      <c r="H150" s="54">
        <f t="shared" si="2"/>
        <v>0</v>
      </c>
    </row>
    <row r="151" spans="6:8" x14ac:dyDescent="0.25">
      <c r="F151" s="53"/>
      <c r="G151" s="53"/>
      <c r="H151" s="54">
        <f t="shared" si="2"/>
        <v>0</v>
      </c>
    </row>
    <row r="152" spans="6:8" x14ac:dyDescent="0.25">
      <c r="F152" s="53"/>
      <c r="G152" s="53"/>
      <c r="H152" s="54">
        <f t="shared" si="2"/>
        <v>0</v>
      </c>
    </row>
    <row r="153" spans="6:8" x14ac:dyDescent="0.25">
      <c r="F153" s="53"/>
      <c r="G153" s="53"/>
      <c r="H153" s="54">
        <f t="shared" si="2"/>
        <v>0</v>
      </c>
    </row>
    <row r="154" spans="6:8" x14ac:dyDescent="0.25">
      <c r="F154" s="53"/>
      <c r="G154" s="53"/>
      <c r="H154" s="54">
        <f t="shared" si="2"/>
        <v>0</v>
      </c>
    </row>
    <row r="155" spans="6:8" x14ac:dyDescent="0.25">
      <c r="F155" s="53"/>
      <c r="G155" s="53"/>
      <c r="H155" s="54">
        <f t="shared" si="2"/>
        <v>0</v>
      </c>
    </row>
    <row r="156" spans="6:8" x14ac:dyDescent="0.25">
      <c r="F156" s="53"/>
      <c r="G156" s="53"/>
      <c r="H156" s="54">
        <f t="shared" si="2"/>
        <v>0</v>
      </c>
    </row>
    <row r="157" spans="6:8" x14ac:dyDescent="0.25">
      <c r="F157" s="53"/>
      <c r="G157" s="53"/>
      <c r="H157" s="54">
        <f t="shared" si="2"/>
        <v>0</v>
      </c>
    </row>
    <row r="158" spans="6:8" x14ac:dyDescent="0.25">
      <c r="F158" s="53"/>
      <c r="G158" s="53"/>
      <c r="H158" s="54">
        <f t="shared" si="2"/>
        <v>0</v>
      </c>
    </row>
    <row r="159" spans="6:8" x14ac:dyDescent="0.25">
      <c r="F159" s="53"/>
      <c r="G159" s="53"/>
      <c r="H159" s="54">
        <f t="shared" si="2"/>
        <v>0</v>
      </c>
    </row>
    <row r="160" spans="6:8" x14ac:dyDescent="0.25">
      <c r="F160" s="53"/>
      <c r="G160" s="53"/>
      <c r="H160" s="54">
        <f t="shared" si="2"/>
        <v>0</v>
      </c>
    </row>
    <row r="161" spans="6:8" x14ac:dyDescent="0.25">
      <c r="F161" s="53"/>
      <c r="G161" s="53"/>
      <c r="H161" s="54">
        <f t="shared" si="2"/>
        <v>0</v>
      </c>
    </row>
    <row r="162" spans="6:8" x14ac:dyDescent="0.25">
      <c r="F162" s="53"/>
      <c r="G162" s="53"/>
      <c r="H162" s="54">
        <f t="shared" si="2"/>
        <v>0</v>
      </c>
    </row>
    <row r="163" spans="6:8" x14ac:dyDescent="0.25">
      <c r="F163" s="53"/>
      <c r="G163" s="53"/>
      <c r="H163" s="54">
        <f t="shared" si="2"/>
        <v>0</v>
      </c>
    </row>
    <row r="164" spans="6:8" x14ac:dyDescent="0.25">
      <c r="F164" s="53"/>
      <c r="G164" s="53"/>
      <c r="H164" s="54">
        <f t="shared" si="2"/>
        <v>0</v>
      </c>
    </row>
    <row r="165" spans="6:8" x14ac:dyDescent="0.25">
      <c r="F165" s="53"/>
      <c r="G165" s="53"/>
      <c r="H165" s="54">
        <f t="shared" si="2"/>
        <v>0</v>
      </c>
    </row>
    <row r="166" spans="6:8" x14ac:dyDescent="0.25">
      <c r="F166" s="53"/>
      <c r="G166" s="53"/>
      <c r="H166" s="54">
        <f t="shared" si="2"/>
        <v>0</v>
      </c>
    </row>
    <row r="167" spans="6:8" x14ac:dyDescent="0.25">
      <c r="F167" s="53"/>
      <c r="G167" s="53"/>
      <c r="H167" s="54">
        <f t="shared" si="2"/>
        <v>0</v>
      </c>
    </row>
    <row r="168" spans="6:8" x14ac:dyDescent="0.25">
      <c r="F168" s="53"/>
      <c r="G168" s="53"/>
      <c r="H168" s="54">
        <f t="shared" si="2"/>
        <v>0</v>
      </c>
    </row>
    <row r="169" spans="6:8" x14ac:dyDescent="0.25">
      <c r="F169" s="53"/>
      <c r="G169" s="53"/>
      <c r="H169" s="54">
        <f t="shared" si="2"/>
        <v>0</v>
      </c>
    </row>
    <row r="170" spans="6:8" x14ac:dyDescent="0.25">
      <c r="F170" s="53"/>
      <c r="G170" s="53"/>
      <c r="H170" s="54">
        <f t="shared" si="2"/>
        <v>0</v>
      </c>
    </row>
    <row r="171" spans="6:8" x14ac:dyDescent="0.25">
      <c r="F171" s="53"/>
      <c r="G171" s="53"/>
      <c r="H171" s="54">
        <f t="shared" si="2"/>
        <v>0</v>
      </c>
    </row>
    <row r="172" spans="6:8" x14ac:dyDescent="0.25">
      <c r="F172" s="53"/>
      <c r="G172" s="53"/>
      <c r="H172" s="54">
        <f t="shared" si="2"/>
        <v>0</v>
      </c>
    </row>
    <row r="173" spans="6:8" x14ac:dyDescent="0.25">
      <c r="F173" s="53"/>
      <c r="G173" s="53"/>
      <c r="H173" s="54">
        <f t="shared" si="2"/>
        <v>0</v>
      </c>
    </row>
    <row r="174" spans="6:8" x14ac:dyDescent="0.25">
      <c r="F174" s="53"/>
      <c r="G174" s="53"/>
      <c r="H174" s="54">
        <f t="shared" si="2"/>
        <v>0</v>
      </c>
    </row>
    <row r="175" spans="6:8" x14ac:dyDescent="0.25">
      <c r="F175" s="53"/>
      <c r="G175" s="53"/>
      <c r="H175" s="54">
        <f t="shared" si="2"/>
        <v>0</v>
      </c>
    </row>
    <row r="176" spans="6:8" x14ac:dyDescent="0.25">
      <c r="F176" s="53"/>
      <c r="G176" s="53"/>
      <c r="H176" s="54">
        <f t="shared" si="2"/>
        <v>0</v>
      </c>
    </row>
    <row r="177" spans="6:8" x14ac:dyDescent="0.25">
      <c r="F177" s="53"/>
      <c r="G177" s="53"/>
      <c r="H177" s="54">
        <f t="shared" si="2"/>
        <v>0</v>
      </c>
    </row>
    <row r="178" spans="6:8" x14ac:dyDescent="0.25">
      <c r="F178" s="53"/>
      <c r="G178" s="53"/>
      <c r="H178" s="54">
        <f t="shared" si="2"/>
        <v>0</v>
      </c>
    </row>
    <row r="179" spans="6:8" x14ac:dyDescent="0.25">
      <c r="F179" s="53"/>
      <c r="G179" s="53"/>
      <c r="H179" s="54">
        <f t="shared" si="2"/>
        <v>0</v>
      </c>
    </row>
    <row r="180" spans="6:8" x14ac:dyDescent="0.25">
      <c r="F180" s="53"/>
      <c r="G180" s="53"/>
      <c r="H180" s="54">
        <f t="shared" si="2"/>
        <v>0</v>
      </c>
    </row>
    <row r="181" spans="6:8" x14ac:dyDescent="0.25">
      <c r="F181" s="53"/>
      <c r="G181" s="53"/>
      <c r="H181" s="54">
        <f t="shared" si="2"/>
        <v>0</v>
      </c>
    </row>
    <row r="182" spans="6:8" x14ac:dyDescent="0.25">
      <c r="F182" s="53"/>
      <c r="G182" s="53"/>
      <c r="H182" s="54">
        <f t="shared" si="2"/>
        <v>0</v>
      </c>
    </row>
    <row r="183" spans="6:8" x14ac:dyDescent="0.25">
      <c r="F183" s="53"/>
      <c r="G183" s="53"/>
      <c r="H183" s="54">
        <f t="shared" si="2"/>
        <v>0</v>
      </c>
    </row>
    <row r="184" spans="6:8" x14ac:dyDescent="0.25">
      <c r="F184" s="53"/>
      <c r="G184" s="53"/>
      <c r="H184" s="54">
        <f t="shared" si="2"/>
        <v>0</v>
      </c>
    </row>
    <row r="185" spans="6:8" x14ac:dyDescent="0.25">
      <c r="F185" s="53"/>
      <c r="G185" s="53"/>
      <c r="H185" s="54">
        <f t="shared" si="2"/>
        <v>0</v>
      </c>
    </row>
    <row r="186" spans="6:8" x14ac:dyDescent="0.25">
      <c r="F186" s="53"/>
      <c r="G186" s="53"/>
      <c r="H186" s="54">
        <f t="shared" si="2"/>
        <v>0</v>
      </c>
    </row>
    <row r="187" spans="6:8" x14ac:dyDescent="0.25">
      <c r="F187" s="53"/>
      <c r="G187" s="53"/>
      <c r="H187" s="54">
        <f t="shared" si="2"/>
        <v>0</v>
      </c>
    </row>
    <row r="188" spans="6:8" x14ac:dyDescent="0.25">
      <c r="F188" s="53"/>
      <c r="G188" s="53"/>
      <c r="H188" s="54">
        <f t="shared" si="2"/>
        <v>0</v>
      </c>
    </row>
    <row r="189" spans="6:8" x14ac:dyDescent="0.25">
      <c r="F189" s="53"/>
      <c r="G189" s="53"/>
      <c r="H189" s="54">
        <f t="shared" si="2"/>
        <v>0</v>
      </c>
    </row>
    <row r="190" spans="6:8" x14ac:dyDescent="0.25">
      <c r="F190" s="53"/>
      <c r="G190" s="53"/>
      <c r="H190" s="54">
        <f t="shared" si="2"/>
        <v>0</v>
      </c>
    </row>
    <row r="191" spans="6:8" x14ac:dyDescent="0.25">
      <c r="F191" s="53"/>
      <c r="G191" s="53"/>
      <c r="H191" s="54">
        <f t="shared" si="2"/>
        <v>0</v>
      </c>
    </row>
    <row r="192" spans="6:8" x14ac:dyDescent="0.25">
      <c r="F192" s="53"/>
      <c r="G192" s="53"/>
      <c r="H192" s="54">
        <f t="shared" si="2"/>
        <v>0</v>
      </c>
    </row>
    <row r="193" spans="6:8" x14ac:dyDescent="0.25">
      <c r="F193" s="53"/>
      <c r="G193" s="53"/>
      <c r="H193" s="54">
        <f t="shared" si="2"/>
        <v>0</v>
      </c>
    </row>
    <row r="194" spans="6:8" x14ac:dyDescent="0.25">
      <c r="F194" s="53"/>
      <c r="G194" s="53"/>
      <c r="H194" s="54">
        <f t="shared" ref="H194:H257" si="3">E194*F194</f>
        <v>0</v>
      </c>
    </row>
    <row r="195" spans="6:8" x14ac:dyDescent="0.25">
      <c r="F195" s="53"/>
      <c r="G195" s="53"/>
      <c r="H195" s="54">
        <f t="shared" si="3"/>
        <v>0</v>
      </c>
    </row>
    <row r="196" spans="6:8" x14ac:dyDescent="0.25">
      <c r="F196" s="53"/>
      <c r="G196" s="53"/>
      <c r="H196" s="54">
        <f t="shared" si="3"/>
        <v>0</v>
      </c>
    </row>
    <row r="197" spans="6:8" x14ac:dyDescent="0.25">
      <c r="F197" s="53"/>
      <c r="G197" s="53"/>
      <c r="H197" s="54">
        <f t="shared" si="3"/>
        <v>0</v>
      </c>
    </row>
    <row r="198" spans="6:8" x14ac:dyDescent="0.25">
      <c r="F198" s="53"/>
      <c r="G198" s="53"/>
      <c r="H198" s="54">
        <f t="shared" si="3"/>
        <v>0</v>
      </c>
    </row>
    <row r="199" spans="6:8" x14ac:dyDescent="0.25">
      <c r="F199" s="53"/>
      <c r="G199" s="53"/>
      <c r="H199" s="54">
        <f t="shared" si="3"/>
        <v>0</v>
      </c>
    </row>
    <row r="200" spans="6:8" x14ac:dyDescent="0.25">
      <c r="F200" s="53"/>
      <c r="G200" s="53"/>
      <c r="H200" s="54">
        <f t="shared" si="3"/>
        <v>0</v>
      </c>
    </row>
    <row r="201" spans="6:8" x14ac:dyDescent="0.25">
      <c r="F201" s="53"/>
      <c r="G201" s="53"/>
      <c r="H201" s="54">
        <f t="shared" si="3"/>
        <v>0</v>
      </c>
    </row>
    <row r="202" spans="6:8" x14ac:dyDescent="0.25">
      <c r="F202" s="53"/>
      <c r="G202" s="53"/>
      <c r="H202" s="54">
        <f t="shared" si="3"/>
        <v>0</v>
      </c>
    </row>
    <row r="203" spans="6:8" x14ac:dyDescent="0.25">
      <c r="F203" s="53"/>
      <c r="G203" s="53"/>
      <c r="H203" s="54">
        <f t="shared" si="3"/>
        <v>0</v>
      </c>
    </row>
    <row r="204" spans="6:8" x14ac:dyDescent="0.25">
      <c r="F204" s="53"/>
      <c r="G204" s="53"/>
      <c r="H204" s="54">
        <f t="shared" si="3"/>
        <v>0</v>
      </c>
    </row>
    <row r="205" spans="6:8" x14ac:dyDescent="0.25">
      <c r="F205" s="53"/>
      <c r="G205" s="53"/>
      <c r="H205" s="54">
        <f t="shared" si="3"/>
        <v>0</v>
      </c>
    </row>
    <row r="206" spans="6:8" x14ac:dyDescent="0.25">
      <c r="F206" s="53"/>
      <c r="G206" s="53"/>
      <c r="H206" s="54">
        <f t="shared" si="3"/>
        <v>0</v>
      </c>
    </row>
    <row r="207" spans="6:8" x14ac:dyDescent="0.25">
      <c r="F207" s="53"/>
      <c r="G207" s="53"/>
      <c r="H207" s="54">
        <f t="shared" si="3"/>
        <v>0</v>
      </c>
    </row>
    <row r="208" spans="6:8" x14ac:dyDescent="0.25">
      <c r="F208" s="53"/>
      <c r="G208" s="53"/>
      <c r="H208" s="54">
        <f t="shared" si="3"/>
        <v>0</v>
      </c>
    </row>
    <row r="209" spans="6:8" x14ac:dyDescent="0.25">
      <c r="F209" s="53"/>
      <c r="G209" s="53"/>
      <c r="H209" s="54">
        <f t="shared" si="3"/>
        <v>0</v>
      </c>
    </row>
    <row r="210" spans="6:8" x14ac:dyDescent="0.25">
      <c r="F210" s="53"/>
      <c r="G210" s="53"/>
      <c r="H210" s="54">
        <f t="shared" si="3"/>
        <v>0</v>
      </c>
    </row>
    <row r="211" spans="6:8" x14ac:dyDescent="0.25">
      <c r="F211" s="53"/>
      <c r="G211" s="53"/>
      <c r="H211" s="54">
        <f t="shared" si="3"/>
        <v>0</v>
      </c>
    </row>
    <row r="212" spans="6:8" x14ac:dyDescent="0.25">
      <c r="F212" s="53"/>
      <c r="G212" s="53"/>
      <c r="H212" s="54">
        <f t="shared" si="3"/>
        <v>0</v>
      </c>
    </row>
    <row r="213" spans="6:8" x14ac:dyDescent="0.25">
      <c r="F213" s="53"/>
      <c r="G213" s="53"/>
      <c r="H213" s="54">
        <f t="shared" si="3"/>
        <v>0</v>
      </c>
    </row>
    <row r="214" spans="6:8" x14ac:dyDescent="0.25">
      <c r="F214" s="53"/>
      <c r="G214" s="53"/>
      <c r="H214" s="54">
        <f t="shared" si="3"/>
        <v>0</v>
      </c>
    </row>
    <row r="215" spans="6:8" x14ac:dyDescent="0.25">
      <c r="F215" s="53"/>
      <c r="G215" s="53"/>
      <c r="H215" s="54">
        <f t="shared" si="3"/>
        <v>0</v>
      </c>
    </row>
    <row r="216" spans="6:8" x14ac:dyDescent="0.25">
      <c r="F216" s="53"/>
      <c r="G216" s="53"/>
      <c r="H216" s="54">
        <f t="shared" si="3"/>
        <v>0</v>
      </c>
    </row>
    <row r="217" spans="6:8" x14ac:dyDescent="0.25">
      <c r="F217" s="53"/>
      <c r="G217" s="53"/>
      <c r="H217" s="54">
        <f t="shared" si="3"/>
        <v>0</v>
      </c>
    </row>
    <row r="218" spans="6:8" x14ac:dyDescent="0.25">
      <c r="F218" s="53"/>
      <c r="G218" s="53"/>
      <c r="H218" s="54">
        <f t="shared" si="3"/>
        <v>0</v>
      </c>
    </row>
    <row r="219" spans="6:8" x14ac:dyDescent="0.25">
      <c r="F219" s="53"/>
      <c r="G219" s="53"/>
      <c r="H219" s="54">
        <f t="shared" si="3"/>
        <v>0</v>
      </c>
    </row>
    <row r="220" spans="6:8" x14ac:dyDescent="0.25">
      <c r="F220" s="53"/>
      <c r="G220" s="53"/>
      <c r="H220" s="54">
        <f t="shared" si="3"/>
        <v>0</v>
      </c>
    </row>
    <row r="221" spans="6:8" x14ac:dyDescent="0.25">
      <c r="F221" s="53"/>
      <c r="G221" s="53"/>
      <c r="H221" s="54">
        <f t="shared" si="3"/>
        <v>0</v>
      </c>
    </row>
    <row r="222" spans="6:8" x14ac:dyDescent="0.25">
      <c r="F222" s="53"/>
      <c r="G222" s="53"/>
      <c r="H222" s="54">
        <f t="shared" si="3"/>
        <v>0</v>
      </c>
    </row>
    <row r="223" spans="6:8" x14ac:dyDescent="0.25">
      <c r="F223" s="53"/>
      <c r="G223" s="53"/>
      <c r="H223" s="54">
        <f t="shared" si="3"/>
        <v>0</v>
      </c>
    </row>
    <row r="224" spans="6:8" x14ac:dyDescent="0.25">
      <c r="F224" s="53"/>
      <c r="G224" s="53"/>
      <c r="H224" s="54">
        <f t="shared" si="3"/>
        <v>0</v>
      </c>
    </row>
    <row r="225" spans="6:8" x14ac:dyDescent="0.25">
      <c r="F225" s="53"/>
      <c r="G225" s="53"/>
      <c r="H225" s="54">
        <f t="shared" si="3"/>
        <v>0</v>
      </c>
    </row>
    <row r="226" spans="6:8" x14ac:dyDescent="0.25">
      <c r="F226" s="53"/>
      <c r="G226" s="53"/>
      <c r="H226" s="54">
        <f t="shared" si="3"/>
        <v>0</v>
      </c>
    </row>
    <row r="227" spans="6:8" x14ac:dyDescent="0.25">
      <c r="F227" s="53"/>
      <c r="G227" s="53"/>
      <c r="H227" s="54">
        <f t="shared" si="3"/>
        <v>0</v>
      </c>
    </row>
    <row r="228" spans="6:8" x14ac:dyDescent="0.25">
      <c r="F228" s="53"/>
      <c r="G228" s="53"/>
      <c r="H228" s="54">
        <f t="shared" si="3"/>
        <v>0</v>
      </c>
    </row>
    <row r="229" spans="6:8" x14ac:dyDescent="0.25">
      <c r="F229" s="53"/>
      <c r="G229" s="53"/>
      <c r="H229" s="54">
        <f t="shared" si="3"/>
        <v>0</v>
      </c>
    </row>
    <row r="230" spans="6:8" x14ac:dyDescent="0.25">
      <c r="F230" s="53"/>
      <c r="G230" s="53"/>
      <c r="H230" s="54">
        <f t="shared" si="3"/>
        <v>0</v>
      </c>
    </row>
    <row r="231" spans="6:8" x14ac:dyDescent="0.25">
      <c r="F231" s="53"/>
      <c r="G231" s="53"/>
      <c r="H231" s="54">
        <f t="shared" si="3"/>
        <v>0</v>
      </c>
    </row>
    <row r="232" spans="6:8" x14ac:dyDescent="0.25">
      <c r="F232" s="53"/>
      <c r="G232" s="53"/>
      <c r="H232" s="54">
        <f t="shared" si="3"/>
        <v>0</v>
      </c>
    </row>
    <row r="233" spans="6:8" x14ac:dyDescent="0.25">
      <c r="F233" s="53"/>
      <c r="G233" s="53"/>
      <c r="H233" s="54">
        <f t="shared" si="3"/>
        <v>0</v>
      </c>
    </row>
    <row r="234" spans="6:8" x14ac:dyDescent="0.25">
      <c r="F234" s="53"/>
      <c r="G234" s="53"/>
      <c r="H234" s="54">
        <f t="shared" si="3"/>
        <v>0</v>
      </c>
    </row>
    <row r="235" spans="6:8" x14ac:dyDescent="0.25">
      <c r="F235" s="53"/>
      <c r="G235" s="53"/>
      <c r="H235" s="54">
        <f t="shared" si="3"/>
        <v>0</v>
      </c>
    </row>
    <row r="236" spans="6:8" x14ac:dyDescent="0.25">
      <c r="F236" s="53"/>
      <c r="G236" s="53"/>
      <c r="H236" s="54">
        <f t="shared" si="3"/>
        <v>0</v>
      </c>
    </row>
    <row r="237" spans="6:8" x14ac:dyDescent="0.25">
      <c r="F237" s="53"/>
      <c r="G237" s="53"/>
      <c r="H237" s="54">
        <f t="shared" si="3"/>
        <v>0</v>
      </c>
    </row>
    <row r="238" spans="6:8" x14ac:dyDescent="0.25">
      <c r="F238" s="53"/>
      <c r="G238" s="53"/>
      <c r="H238" s="54">
        <f t="shared" si="3"/>
        <v>0</v>
      </c>
    </row>
    <row r="239" spans="6:8" x14ac:dyDescent="0.25">
      <c r="F239" s="53"/>
      <c r="G239" s="53"/>
      <c r="H239" s="54">
        <f t="shared" si="3"/>
        <v>0</v>
      </c>
    </row>
    <row r="240" spans="6:8" x14ac:dyDescent="0.25">
      <c r="F240" s="53"/>
      <c r="G240" s="53"/>
      <c r="H240" s="54">
        <f t="shared" si="3"/>
        <v>0</v>
      </c>
    </row>
    <row r="241" spans="6:8" x14ac:dyDescent="0.25">
      <c r="F241" s="53"/>
      <c r="G241" s="53"/>
      <c r="H241" s="54">
        <f t="shared" si="3"/>
        <v>0</v>
      </c>
    </row>
    <row r="242" spans="6:8" x14ac:dyDescent="0.25">
      <c r="F242" s="53"/>
      <c r="G242" s="53"/>
      <c r="H242" s="54">
        <f t="shared" si="3"/>
        <v>0</v>
      </c>
    </row>
    <row r="243" spans="6:8" x14ac:dyDescent="0.25">
      <c r="F243" s="53"/>
      <c r="G243" s="53"/>
      <c r="H243" s="54">
        <f t="shared" si="3"/>
        <v>0</v>
      </c>
    </row>
    <row r="244" spans="6:8" x14ac:dyDescent="0.25">
      <c r="F244" s="53"/>
      <c r="G244" s="53"/>
      <c r="H244" s="54">
        <f t="shared" si="3"/>
        <v>0</v>
      </c>
    </row>
    <row r="245" spans="6:8" x14ac:dyDescent="0.25">
      <c r="F245" s="53"/>
      <c r="G245" s="53"/>
      <c r="H245" s="54">
        <f t="shared" si="3"/>
        <v>0</v>
      </c>
    </row>
    <row r="246" spans="6:8" x14ac:dyDescent="0.25">
      <c r="F246" s="53"/>
      <c r="G246" s="53"/>
      <c r="H246" s="54">
        <f t="shared" si="3"/>
        <v>0</v>
      </c>
    </row>
    <row r="247" spans="6:8" x14ac:dyDescent="0.25">
      <c r="F247" s="53"/>
      <c r="G247" s="53"/>
      <c r="H247" s="54">
        <f t="shared" si="3"/>
        <v>0</v>
      </c>
    </row>
    <row r="248" spans="6:8" x14ac:dyDescent="0.25">
      <c r="F248" s="53"/>
      <c r="G248" s="53"/>
      <c r="H248" s="54">
        <f t="shared" si="3"/>
        <v>0</v>
      </c>
    </row>
    <row r="249" spans="6:8" x14ac:dyDescent="0.25">
      <c r="F249" s="53"/>
      <c r="G249" s="53"/>
      <c r="H249" s="54">
        <f t="shared" si="3"/>
        <v>0</v>
      </c>
    </row>
    <row r="250" spans="6:8" x14ac:dyDescent="0.25">
      <c r="F250" s="53"/>
      <c r="G250" s="53"/>
      <c r="H250" s="54">
        <f t="shared" si="3"/>
        <v>0</v>
      </c>
    </row>
    <row r="251" spans="6:8" x14ac:dyDescent="0.25">
      <c r="F251" s="53"/>
      <c r="G251" s="53"/>
      <c r="H251" s="54">
        <f t="shared" si="3"/>
        <v>0</v>
      </c>
    </row>
    <row r="252" spans="6:8" x14ac:dyDescent="0.25">
      <c r="F252" s="53"/>
      <c r="G252" s="53"/>
      <c r="H252" s="54">
        <f t="shared" si="3"/>
        <v>0</v>
      </c>
    </row>
    <row r="253" spans="6:8" x14ac:dyDescent="0.25">
      <c r="F253" s="53"/>
      <c r="G253" s="53"/>
      <c r="H253" s="54">
        <f t="shared" si="3"/>
        <v>0</v>
      </c>
    </row>
    <row r="254" spans="6:8" x14ac:dyDescent="0.25">
      <c r="F254" s="53"/>
      <c r="G254" s="53"/>
      <c r="H254" s="54">
        <f t="shared" si="3"/>
        <v>0</v>
      </c>
    </row>
    <row r="255" spans="6:8" x14ac:dyDescent="0.25">
      <c r="F255" s="53"/>
      <c r="G255" s="53"/>
      <c r="H255" s="54">
        <f t="shared" si="3"/>
        <v>0</v>
      </c>
    </row>
    <row r="256" spans="6:8" x14ac:dyDescent="0.25">
      <c r="F256" s="53"/>
      <c r="G256" s="53"/>
      <c r="H256" s="54">
        <f t="shared" si="3"/>
        <v>0</v>
      </c>
    </row>
    <row r="257" spans="6:8" x14ac:dyDescent="0.25">
      <c r="F257" s="53"/>
      <c r="G257" s="53"/>
      <c r="H257" s="54">
        <f t="shared" si="3"/>
        <v>0</v>
      </c>
    </row>
    <row r="258" spans="6:8" x14ac:dyDescent="0.25">
      <c r="F258" s="53"/>
      <c r="G258" s="53"/>
      <c r="H258" s="54">
        <f t="shared" ref="H258:H321" si="4">E258*F258</f>
        <v>0</v>
      </c>
    </row>
    <row r="259" spans="6:8" x14ac:dyDescent="0.25">
      <c r="F259" s="53"/>
      <c r="G259" s="53"/>
      <c r="H259" s="54">
        <f t="shared" si="4"/>
        <v>0</v>
      </c>
    </row>
    <row r="260" spans="6:8" x14ac:dyDescent="0.25">
      <c r="F260" s="53"/>
      <c r="G260" s="53"/>
      <c r="H260" s="54">
        <f t="shared" si="4"/>
        <v>0</v>
      </c>
    </row>
    <row r="261" spans="6:8" x14ac:dyDescent="0.25">
      <c r="F261" s="53"/>
      <c r="G261" s="53"/>
      <c r="H261" s="54">
        <f t="shared" si="4"/>
        <v>0</v>
      </c>
    </row>
    <row r="262" spans="6:8" x14ac:dyDescent="0.25">
      <c r="F262" s="53"/>
      <c r="G262" s="53"/>
      <c r="H262" s="54">
        <f t="shared" si="4"/>
        <v>0</v>
      </c>
    </row>
    <row r="263" spans="6:8" x14ac:dyDescent="0.25">
      <c r="F263" s="53"/>
      <c r="G263" s="53"/>
      <c r="H263" s="54">
        <f t="shared" si="4"/>
        <v>0</v>
      </c>
    </row>
    <row r="264" spans="6:8" x14ac:dyDescent="0.25">
      <c r="F264" s="53"/>
      <c r="G264" s="53"/>
      <c r="H264" s="54">
        <f t="shared" si="4"/>
        <v>0</v>
      </c>
    </row>
    <row r="265" spans="6:8" x14ac:dyDescent="0.25">
      <c r="F265" s="53"/>
      <c r="G265" s="53"/>
      <c r="H265" s="54">
        <f t="shared" si="4"/>
        <v>0</v>
      </c>
    </row>
    <row r="266" spans="6:8" x14ac:dyDescent="0.25">
      <c r="F266" s="53"/>
      <c r="G266" s="53"/>
      <c r="H266" s="54">
        <f t="shared" si="4"/>
        <v>0</v>
      </c>
    </row>
    <row r="267" spans="6:8" x14ac:dyDescent="0.25">
      <c r="F267" s="53"/>
      <c r="G267" s="53"/>
      <c r="H267" s="54">
        <f t="shared" si="4"/>
        <v>0</v>
      </c>
    </row>
    <row r="268" spans="6:8" x14ac:dyDescent="0.25">
      <c r="F268" s="53"/>
      <c r="G268" s="53"/>
      <c r="H268" s="54">
        <f t="shared" si="4"/>
        <v>0</v>
      </c>
    </row>
    <row r="269" spans="6:8" x14ac:dyDescent="0.25">
      <c r="F269" s="53"/>
      <c r="G269" s="53"/>
      <c r="H269" s="54">
        <f t="shared" si="4"/>
        <v>0</v>
      </c>
    </row>
    <row r="270" spans="6:8" x14ac:dyDescent="0.25">
      <c r="F270" s="53"/>
      <c r="G270" s="53"/>
      <c r="H270" s="54">
        <f t="shared" si="4"/>
        <v>0</v>
      </c>
    </row>
    <row r="271" spans="6:8" x14ac:dyDescent="0.25">
      <c r="F271" s="53"/>
      <c r="G271" s="53"/>
      <c r="H271" s="54">
        <f t="shared" si="4"/>
        <v>0</v>
      </c>
    </row>
    <row r="272" spans="6:8" x14ac:dyDescent="0.25">
      <c r="F272" s="53"/>
      <c r="G272" s="53"/>
      <c r="H272" s="54">
        <f t="shared" si="4"/>
        <v>0</v>
      </c>
    </row>
    <row r="273" spans="6:8" x14ac:dyDescent="0.25">
      <c r="F273" s="53"/>
      <c r="G273" s="53"/>
      <c r="H273" s="54">
        <f t="shared" si="4"/>
        <v>0</v>
      </c>
    </row>
    <row r="274" spans="6:8" x14ac:dyDescent="0.25">
      <c r="F274" s="53"/>
      <c r="G274" s="53"/>
      <c r="H274" s="54">
        <f t="shared" si="4"/>
        <v>0</v>
      </c>
    </row>
    <row r="275" spans="6:8" x14ac:dyDescent="0.25">
      <c r="F275" s="53"/>
      <c r="G275" s="53"/>
      <c r="H275" s="54">
        <f t="shared" si="4"/>
        <v>0</v>
      </c>
    </row>
    <row r="276" spans="6:8" x14ac:dyDescent="0.25">
      <c r="F276" s="53"/>
      <c r="G276" s="53"/>
      <c r="H276" s="54">
        <f t="shared" si="4"/>
        <v>0</v>
      </c>
    </row>
    <row r="277" spans="6:8" x14ac:dyDescent="0.25">
      <c r="F277" s="53"/>
      <c r="G277" s="53"/>
      <c r="H277" s="54">
        <f t="shared" si="4"/>
        <v>0</v>
      </c>
    </row>
    <row r="278" spans="6:8" x14ac:dyDescent="0.25">
      <c r="F278" s="53"/>
      <c r="G278" s="53"/>
      <c r="H278" s="54">
        <f t="shared" si="4"/>
        <v>0</v>
      </c>
    </row>
    <row r="279" spans="6:8" x14ac:dyDescent="0.25">
      <c r="F279" s="53"/>
      <c r="G279" s="53"/>
      <c r="H279" s="54">
        <f t="shared" si="4"/>
        <v>0</v>
      </c>
    </row>
    <row r="280" spans="6:8" x14ac:dyDescent="0.25">
      <c r="F280" s="53"/>
      <c r="G280" s="53"/>
      <c r="H280" s="54">
        <f t="shared" si="4"/>
        <v>0</v>
      </c>
    </row>
    <row r="281" spans="6:8" x14ac:dyDescent="0.25">
      <c r="F281" s="53"/>
      <c r="G281" s="53"/>
      <c r="H281" s="54">
        <f t="shared" si="4"/>
        <v>0</v>
      </c>
    </row>
    <row r="282" spans="6:8" x14ac:dyDescent="0.25">
      <c r="F282" s="53"/>
      <c r="G282" s="53"/>
      <c r="H282" s="54">
        <f t="shared" si="4"/>
        <v>0</v>
      </c>
    </row>
    <row r="283" spans="6:8" x14ac:dyDescent="0.25">
      <c r="F283" s="53"/>
      <c r="G283" s="53"/>
      <c r="H283" s="54">
        <f t="shared" si="4"/>
        <v>0</v>
      </c>
    </row>
    <row r="284" spans="6:8" x14ac:dyDescent="0.25">
      <c r="F284" s="53"/>
      <c r="G284" s="53"/>
      <c r="H284" s="54">
        <f t="shared" si="4"/>
        <v>0</v>
      </c>
    </row>
    <row r="285" spans="6:8" x14ac:dyDescent="0.25">
      <c r="F285" s="53"/>
      <c r="G285" s="53"/>
      <c r="H285" s="54">
        <f t="shared" si="4"/>
        <v>0</v>
      </c>
    </row>
    <row r="286" spans="6:8" x14ac:dyDescent="0.25">
      <c r="F286" s="53"/>
      <c r="G286" s="53"/>
      <c r="H286" s="54">
        <f t="shared" si="4"/>
        <v>0</v>
      </c>
    </row>
    <row r="287" spans="6:8" x14ac:dyDescent="0.25">
      <c r="F287" s="53"/>
      <c r="G287" s="53"/>
      <c r="H287" s="54">
        <f t="shared" si="4"/>
        <v>0</v>
      </c>
    </row>
    <row r="288" spans="6:8" x14ac:dyDescent="0.25">
      <c r="F288" s="53"/>
      <c r="G288" s="53"/>
      <c r="H288" s="54">
        <f t="shared" si="4"/>
        <v>0</v>
      </c>
    </row>
    <row r="289" spans="6:8" x14ac:dyDescent="0.25">
      <c r="F289" s="53"/>
      <c r="G289" s="53"/>
      <c r="H289" s="54">
        <f t="shared" si="4"/>
        <v>0</v>
      </c>
    </row>
    <row r="290" spans="6:8" x14ac:dyDescent="0.25">
      <c r="F290" s="53"/>
      <c r="G290" s="53"/>
      <c r="H290" s="54">
        <f t="shared" si="4"/>
        <v>0</v>
      </c>
    </row>
    <row r="291" spans="6:8" x14ac:dyDescent="0.25">
      <c r="F291" s="53"/>
      <c r="G291" s="53"/>
      <c r="H291" s="54">
        <f t="shared" si="4"/>
        <v>0</v>
      </c>
    </row>
    <row r="292" spans="6:8" x14ac:dyDescent="0.25">
      <c r="F292" s="53"/>
      <c r="G292" s="53"/>
      <c r="H292" s="54">
        <f t="shared" si="4"/>
        <v>0</v>
      </c>
    </row>
    <row r="293" spans="6:8" x14ac:dyDescent="0.25">
      <c r="F293" s="53"/>
      <c r="G293" s="53"/>
      <c r="H293" s="54">
        <f t="shared" si="4"/>
        <v>0</v>
      </c>
    </row>
    <row r="294" spans="6:8" x14ac:dyDescent="0.25">
      <c r="F294" s="53"/>
      <c r="G294" s="53"/>
      <c r="H294" s="54">
        <f t="shared" si="4"/>
        <v>0</v>
      </c>
    </row>
    <row r="295" spans="6:8" x14ac:dyDescent="0.25">
      <c r="F295" s="53"/>
      <c r="G295" s="53"/>
      <c r="H295" s="54">
        <f t="shared" si="4"/>
        <v>0</v>
      </c>
    </row>
    <row r="296" spans="6:8" x14ac:dyDescent="0.25">
      <c r="F296" s="53"/>
      <c r="G296" s="53"/>
      <c r="H296" s="54">
        <f t="shared" si="4"/>
        <v>0</v>
      </c>
    </row>
    <row r="297" spans="6:8" x14ac:dyDescent="0.25">
      <c r="F297" s="53"/>
      <c r="G297" s="53"/>
      <c r="H297" s="54">
        <f t="shared" si="4"/>
        <v>0</v>
      </c>
    </row>
    <row r="298" spans="6:8" x14ac:dyDescent="0.25">
      <c r="F298" s="53"/>
      <c r="G298" s="53"/>
      <c r="H298" s="54">
        <f t="shared" si="4"/>
        <v>0</v>
      </c>
    </row>
    <row r="299" spans="6:8" x14ac:dyDescent="0.25">
      <c r="F299" s="53"/>
      <c r="G299" s="53"/>
      <c r="H299" s="54">
        <f t="shared" si="4"/>
        <v>0</v>
      </c>
    </row>
    <row r="300" spans="6:8" x14ac:dyDescent="0.25">
      <c r="F300" s="53"/>
      <c r="G300" s="53"/>
      <c r="H300" s="54">
        <f t="shared" si="4"/>
        <v>0</v>
      </c>
    </row>
    <row r="301" spans="6:8" x14ac:dyDescent="0.25">
      <c r="F301" s="53"/>
      <c r="G301" s="53"/>
      <c r="H301" s="54">
        <f t="shared" si="4"/>
        <v>0</v>
      </c>
    </row>
    <row r="302" spans="6:8" x14ac:dyDescent="0.25">
      <c r="F302" s="53"/>
      <c r="G302" s="53"/>
      <c r="H302" s="54">
        <f t="shared" si="4"/>
        <v>0</v>
      </c>
    </row>
    <row r="303" spans="6:8" x14ac:dyDescent="0.25">
      <c r="F303" s="53"/>
      <c r="G303" s="53"/>
      <c r="H303" s="54">
        <f t="shared" si="4"/>
        <v>0</v>
      </c>
    </row>
    <row r="304" spans="6:8" x14ac:dyDescent="0.25">
      <c r="F304" s="53"/>
      <c r="G304" s="53"/>
      <c r="H304" s="54">
        <f t="shared" si="4"/>
        <v>0</v>
      </c>
    </row>
    <row r="305" spans="6:8" x14ac:dyDescent="0.25">
      <c r="F305" s="53"/>
      <c r="G305" s="53"/>
      <c r="H305" s="54">
        <f t="shared" si="4"/>
        <v>0</v>
      </c>
    </row>
    <row r="306" spans="6:8" x14ac:dyDescent="0.25">
      <c r="F306" s="53"/>
      <c r="G306" s="53"/>
      <c r="H306" s="54">
        <f t="shared" si="4"/>
        <v>0</v>
      </c>
    </row>
    <row r="307" spans="6:8" x14ac:dyDescent="0.25">
      <c r="F307" s="53"/>
      <c r="G307" s="53"/>
      <c r="H307" s="54">
        <f t="shared" si="4"/>
        <v>0</v>
      </c>
    </row>
    <row r="308" spans="6:8" x14ac:dyDescent="0.25">
      <c r="F308" s="53"/>
      <c r="G308" s="53"/>
      <c r="H308" s="54">
        <f t="shared" si="4"/>
        <v>0</v>
      </c>
    </row>
    <row r="309" spans="6:8" x14ac:dyDescent="0.25">
      <c r="F309" s="53"/>
      <c r="G309" s="53"/>
      <c r="H309" s="54">
        <f t="shared" si="4"/>
        <v>0</v>
      </c>
    </row>
    <row r="310" spans="6:8" x14ac:dyDescent="0.25">
      <c r="F310" s="53"/>
      <c r="G310" s="53"/>
      <c r="H310" s="54">
        <f t="shared" si="4"/>
        <v>0</v>
      </c>
    </row>
    <row r="311" spans="6:8" x14ac:dyDescent="0.25">
      <c r="F311" s="53"/>
      <c r="G311" s="53"/>
      <c r="H311" s="54">
        <f t="shared" si="4"/>
        <v>0</v>
      </c>
    </row>
    <row r="312" spans="6:8" x14ac:dyDescent="0.25">
      <c r="F312" s="53"/>
      <c r="G312" s="53"/>
      <c r="H312" s="54">
        <f t="shared" si="4"/>
        <v>0</v>
      </c>
    </row>
    <row r="313" spans="6:8" x14ac:dyDescent="0.25">
      <c r="F313" s="53"/>
      <c r="G313" s="53"/>
      <c r="H313" s="54">
        <f t="shared" si="4"/>
        <v>0</v>
      </c>
    </row>
    <row r="314" spans="6:8" x14ac:dyDescent="0.25">
      <c r="F314" s="53"/>
      <c r="G314" s="53"/>
      <c r="H314" s="54">
        <f t="shared" si="4"/>
        <v>0</v>
      </c>
    </row>
    <row r="315" spans="6:8" x14ac:dyDescent="0.25">
      <c r="F315" s="53"/>
      <c r="G315" s="53"/>
      <c r="H315" s="54">
        <f t="shared" si="4"/>
        <v>0</v>
      </c>
    </row>
    <row r="316" spans="6:8" x14ac:dyDescent="0.25">
      <c r="F316" s="53"/>
      <c r="G316" s="53"/>
      <c r="H316" s="54">
        <f t="shared" si="4"/>
        <v>0</v>
      </c>
    </row>
    <row r="317" spans="6:8" x14ac:dyDescent="0.25">
      <c r="F317" s="53"/>
      <c r="G317" s="53"/>
      <c r="H317" s="54">
        <f t="shared" si="4"/>
        <v>0</v>
      </c>
    </row>
    <row r="318" spans="6:8" x14ac:dyDescent="0.25">
      <c r="F318" s="53"/>
      <c r="G318" s="53"/>
      <c r="H318" s="54">
        <f t="shared" si="4"/>
        <v>0</v>
      </c>
    </row>
    <row r="319" spans="6:8" x14ac:dyDescent="0.25">
      <c r="F319" s="53"/>
      <c r="G319" s="53"/>
      <c r="H319" s="54">
        <f t="shared" si="4"/>
        <v>0</v>
      </c>
    </row>
    <row r="320" spans="6:8" x14ac:dyDescent="0.25">
      <c r="F320" s="53"/>
      <c r="G320" s="53"/>
      <c r="H320" s="54">
        <f t="shared" si="4"/>
        <v>0</v>
      </c>
    </row>
    <row r="321" spans="6:8" x14ac:dyDescent="0.25">
      <c r="F321" s="53"/>
      <c r="G321" s="53"/>
      <c r="H321" s="54">
        <f t="shared" si="4"/>
        <v>0</v>
      </c>
    </row>
    <row r="322" spans="6:8" x14ac:dyDescent="0.25">
      <c r="F322" s="53"/>
      <c r="G322" s="53"/>
      <c r="H322" s="54">
        <f t="shared" ref="H322:H385" si="5">E322*F322</f>
        <v>0</v>
      </c>
    </row>
    <row r="323" spans="6:8" x14ac:dyDescent="0.25">
      <c r="F323" s="53"/>
      <c r="G323" s="53"/>
      <c r="H323" s="54">
        <f t="shared" si="5"/>
        <v>0</v>
      </c>
    </row>
    <row r="324" spans="6:8" x14ac:dyDescent="0.25">
      <c r="F324" s="53"/>
      <c r="G324" s="53"/>
      <c r="H324" s="54">
        <f t="shared" si="5"/>
        <v>0</v>
      </c>
    </row>
    <row r="325" spans="6:8" x14ac:dyDescent="0.25">
      <c r="F325" s="53"/>
      <c r="G325" s="53"/>
      <c r="H325" s="54">
        <f t="shared" si="5"/>
        <v>0</v>
      </c>
    </row>
    <row r="326" spans="6:8" x14ac:dyDescent="0.25">
      <c r="F326" s="53"/>
      <c r="G326" s="53"/>
      <c r="H326" s="54">
        <f t="shared" si="5"/>
        <v>0</v>
      </c>
    </row>
    <row r="327" spans="6:8" x14ac:dyDescent="0.25">
      <c r="F327" s="53"/>
      <c r="G327" s="53"/>
      <c r="H327" s="54">
        <f t="shared" si="5"/>
        <v>0</v>
      </c>
    </row>
    <row r="328" spans="6:8" x14ac:dyDescent="0.25">
      <c r="F328" s="53"/>
      <c r="G328" s="53"/>
      <c r="H328" s="54">
        <f t="shared" si="5"/>
        <v>0</v>
      </c>
    </row>
    <row r="329" spans="6:8" x14ac:dyDescent="0.25">
      <c r="F329" s="53"/>
      <c r="G329" s="53"/>
      <c r="H329" s="54">
        <f t="shared" si="5"/>
        <v>0</v>
      </c>
    </row>
    <row r="330" spans="6:8" x14ac:dyDescent="0.25">
      <c r="F330" s="53"/>
      <c r="G330" s="53"/>
      <c r="H330" s="54">
        <f t="shared" si="5"/>
        <v>0</v>
      </c>
    </row>
    <row r="331" spans="6:8" x14ac:dyDescent="0.25">
      <c r="F331" s="53"/>
      <c r="G331" s="53"/>
      <c r="H331" s="54">
        <f t="shared" si="5"/>
        <v>0</v>
      </c>
    </row>
    <row r="332" spans="6:8" x14ac:dyDescent="0.25">
      <c r="F332" s="53"/>
      <c r="G332" s="53"/>
      <c r="H332" s="54">
        <f t="shared" si="5"/>
        <v>0</v>
      </c>
    </row>
    <row r="333" spans="6:8" x14ac:dyDescent="0.25">
      <c r="F333" s="53"/>
      <c r="G333" s="53"/>
      <c r="H333" s="54">
        <f t="shared" si="5"/>
        <v>0</v>
      </c>
    </row>
    <row r="334" spans="6:8" x14ac:dyDescent="0.25">
      <c r="F334" s="53"/>
      <c r="G334" s="53"/>
      <c r="H334" s="54">
        <f t="shared" si="5"/>
        <v>0</v>
      </c>
    </row>
    <row r="335" spans="6:8" x14ac:dyDescent="0.25">
      <c r="F335" s="53"/>
      <c r="G335" s="53"/>
      <c r="H335" s="54">
        <f t="shared" si="5"/>
        <v>0</v>
      </c>
    </row>
    <row r="336" spans="6:8" x14ac:dyDescent="0.25">
      <c r="F336" s="53"/>
      <c r="G336" s="53"/>
      <c r="H336" s="54">
        <f t="shared" si="5"/>
        <v>0</v>
      </c>
    </row>
    <row r="337" spans="6:8" x14ac:dyDescent="0.25">
      <c r="F337" s="53"/>
      <c r="G337" s="53"/>
      <c r="H337" s="54">
        <f t="shared" si="5"/>
        <v>0</v>
      </c>
    </row>
    <row r="338" spans="6:8" x14ac:dyDescent="0.25">
      <c r="F338" s="53"/>
      <c r="G338" s="53"/>
      <c r="H338" s="54">
        <f t="shared" si="5"/>
        <v>0</v>
      </c>
    </row>
    <row r="339" spans="6:8" x14ac:dyDescent="0.25">
      <c r="F339" s="53"/>
      <c r="G339" s="53"/>
      <c r="H339" s="54">
        <f t="shared" si="5"/>
        <v>0</v>
      </c>
    </row>
    <row r="340" spans="6:8" x14ac:dyDescent="0.25">
      <c r="F340" s="53"/>
      <c r="G340" s="53"/>
      <c r="H340" s="54">
        <f t="shared" si="5"/>
        <v>0</v>
      </c>
    </row>
    <row r="341" spans="6:8" x14ac:dyDescent="0.25">
      <c r="F341" s="53"/>
      <c r="G341" s="53"/>
      <c r="H341" s="54">
        <f t="shared" si="5"/>
        <v>0</v>
      </c>
    </row>
    <row r="342" spans="6:8" x14ac:dyDescent="0.25">
      <c r="F342" s="53"/>
      <c r="G342" s="53"/>
      <c r="H342" s="54">
        <f t="shared" si="5"/>
        <v>0</v>
      </c>
    </row>
    <row r="343" spans="6:8" x14ac:dyDescent="0.25">
      <c r="F343" s="53"/>
      <c r="G343" s="53"/>
      <c r="H343" s="54">
        <f t="shared" si="5"/>
        <v>0</v>
      </c>
    </row>
    <row r="344" spans="6:8" x14ac:dyDescent="0.25">
      <c r="F344" s="53"/>
      <c r="G344" s="53"/>
      <c r="H344" s="54">
        <f t="shared" si="5"/>
        <v>0</v>
      </c>
    </row>
    <row r="345" spans="6:8" x14ac:dyDescent="0.25">
      <c r="F345" s="53"/>
      <c r="G345" s="53"/>
      <c r="H345" s="54">
        <f t="shared" si="5"/>
        <v>0</v>
      </c>
    </row>
    <row r="346" spans="6:8" x14ac:dyDescent="0.25">
      <c r="F346" s="53"/>
      <c r="G346" s="53"/>
      <c r="H346" s="54">
        <f t="shared" si="5"/>
        <v>0</v>
      </c>
    </row>
    <row r="347" spans="6:8" x14ac:dyDescent="0.25">
      <c r="F347" s="53"/>
      <c r="G347" s="53"/>
      <c r="H347" s="54">
        <f t="shared" si="5"/>
        <v>0</v>
      </c>
    </row>
    <row r="348" spans="6:8" x14ac:dyDescent="0.25">
      <c r="F348" s="53"/>
      <c r="G348" s="53"/>
      <c r="H348" s="54">
        <f t="shared" si="5"/>
        <v>0</v>
      </c>
    </row>
    <row r="349" spans="6:8" x14ac:dyDescent="0.25">
      <c r="F349" s="53"/>
      <c r="G349" s="53"/>
      <c r="H349" s="54">
        <f t="shared" si="5"/>
        <v>0</v>
      </c>
    </row>
    <row r="350" spans="6:8" x14ac:dyDescent="0.25">
      <c r="F350" s="53"/>
      <c r="G350" s="53"/>
      <c r="H350" s="54">
        <f t="shared" si="5"/>
        <v>0</v>
      </c>
    </row>
    <row r="351" spans="6:8" x14ac:dyDescent="0.25">
      <c r="F351" s="53"/>
      <c r="G351" s="53"/>
      <c r="H351" s="54">
        <f t="shared" si="5"/>
        <v>0</v>
      </c>
    </row>
    <row r="352" spans="6:8" x14ac:dyDescent="0.25">
      <c r="F352" s="53"/>
      <c r="G352" s="53"/>
      <c r="H352" s="54">
        <f t="shared" si="5"/>
        <v>0</v>
      </c>
    </row>
    <row r="353" spans="6:8" x14ac:dyDescent="0.25">
      <c r="F353" s="53"/>
      <c r="G353" s="53"/>
      <c r="H353" s="54">
        <f t="shared" si="5"/>
        <v>0</v>
      </c>
    </row>
    <row r="354" spans="6:8" x14ac:dyDescent="0.25">
      <c r="F354" s="53"/>
      <c r="G354" s="53"/>
      <c r="H354" s="54">
        <f t="shared" si="5"/>
        <v>0</v>
      </c>
    </row>
    <row r="355" spans="6:8" x14ac:dyDescent="0.25">
      <c r="F355" s="53"/>
      <c r="G355" s="53"/>
      <c r="H355" s="54">
        <f t="shared" si="5"/>
        <v>0</v>
      </c>
    </row>
    <row r="356" spans="6:8" x14ac:dyDescent="0.25">
      <c r="F356" s="53"/>
      <c r="G356" s="53"/>
      <c r="H356" s="54">
        <f t="shared" si="5"/>
        <v>0</v>
      </c>
    </row>
    <row r="357" spans="6:8" x14ac:dyDescent="0.25">
      <c r="F357" s="53"/>
      <c r="G357" s="53"/>
      <c r="H357" s="54">
        <f t="shared" si="5"/>
        <v>0</v>
      </c>
    </row>
    <row r="358" spans="6:8" x14ac:dyDescent="0.25">
      <c r="F358" s="53"/>
      <c r="G358" s="53"/>
      <c r="H358" s="54">
        <f t="shared" si="5"/>
        <v>0</v>
      </c>
    </row>
    <row r="359" spans="6:8" x14ac:dyDescent="0.25">
      <c r="F359" s="53"/>
      <c r="G359" s="53"/>
      <c r="H359" s="54">
        <f t="shared" si="5"/>
        <v>0</v>
      </c>
    </row>
    <row r="360" spans="6:8" x14ac:dyDescent="0.25">
      <c r="F360" s="53"/>
      <c r="G360" s="53"/>
      <c r="H360" s="54">
        <f t="shared" si="5"/>
        <v>0</v>
      </c>
    </row>
    <row r="361" spans="6:8" x14ac:dyDescent="0.25">
      <c r="F361" s="53"/>
      <c r="G361" s="53"/>
      <c r="H361" s="54">
        <f t="shared" si="5"/>
        <v>0</v>
      </c>
    </row>
    <row r="362" spans="6:8" x14ac:dyDescent="0.25">
      <c r="F362" s="53"/>
      <c r="G362" s="53"/>
      <c r="H362" s="54">
        <f t="shared" si="5"/>
        <v>0</v>
      </c>
    </row>
    <row r="363" spans="6:8" x14ac:dyDescent="0.25">
      <c r="F363" s="53"/>
      <c r="G363" s="53"/>
      <c r="H363" s="54">
        <f t="shared" si="5"/>
        <v>0</v>
      </c>
    </row>
    <row r="364" spans="6:8" x14ac:dyDescent="0.25">
      <c r="F364" s="53"/>
      <c r="G364" s="53"/>
      <c r="H364" s="54">
        <f t="shared" si="5"/>
        <v>0</v>
      </c>
    </row>
    <row r="365" spans="6:8" x14ac:dyDescent="0.25">
      <c r="F365" s="53"/>
      <c r="G365" s="53"/>
      <c r="H365" s="54">
        <f t="shared" si="5"/>
        <v>0</v>
      </c>
    </row>
    <row r="366" spans="6:8" x14ac:dyDescent="0.25">
      <c r="F366" s="53"/>
      <c r="G366" s="53"/>
      <c r="H366" s="54">
        <f t="shared" si="5"/>
        <v>0</v>
      </c>
    </row>
    <row r="367" spans="6:8" x14ac:dyDescent="0.25">
      <c r="F367" s="53"/>
      <c r="G367" s="53"/>
      <c r="H367" s="54">
        <f t="shared" si="5"/>
        <v>0</v>
      </c>
    </row>
    <row r="368" spans="6:8" x14ac:dyDescent="0.25">
      <c r="F368" s="53"/>
      <c r="G368" s="53"/>
      <c r="H368" s="54">
        <f t="shared" si="5"/>
        <v>0</v>
      </c>
    </row>
    <row r="369" spans="6:8" x14ac:dyDescent="0.25">
      <c r="F369" s="53"/>
      <c r="G369" s="53"/>
      <c r="H369" s="54">
        <f t="shared" si="5"/>
        <v>0</v>
      </c>
    </row>
    <row r="370" spans="6:8" x14ac:dyDescent="0.25">
      <c r="F370" s="53"/>
      <c r="G370" s="53"/>
      <c r="H370" s="54">
        <f t="shared" si="5"/>
        <v>0</v>
      </c>
    </row>
    <row r="371" spans="6:8" x14ac:dyDescent="0.25">
      <c r="F371" s="53"/>
      <c r="G371" s="53"/>
      <c r="H371" s="54">
        <f t="shared" si="5"/>
        <v>0</v>
      </c>
    </row>
    <row r="372" spans="6:8" x14ac:dyDescent="0.25">
      <c r="F372" s="53"/>
      <c r="G372" s="53"/>
      <c r="H372" s="54">
        <f t="shared" si="5"/>
        <v>0</v>
      </c>
    </row>
    <row r="373" spans="6:8" x14ac:dyDescent="0.25">
      <c r="F373" s="53"/>
      <c r="G373" s="53"/>
      <c r="H373" s="54">
        <f t="shared" si="5"/>
        <v>0</v>
      </c>
    </row>
    <row r="374" spans="6:8" x14ac:dyDescent="0.25">
      <c r="F374" s="53"/>
      <c r="G374" s="53"/>
      <c r="H374" s="54">
        <f t="shared" si="5"/>
        <v>0</v>
      </c>
    </row>
    <row r="375" spans="6:8" x14ac:dyDescent="0.25">
      <c r="F375" s="53"/>
      <c r="G375" s="53"/>
      <c r="H375" s="54">
        <f t="shared" si="5"/>
        <v>0</v>
      </c>
    </row>
    <row r="376" spans="6:8" x14ac:dyDescent="0.25">
      <c r="F376" s="53"/>
      <c r="G376" s="53"/>
      <c r="H376" s="54">
        <f t="shared" si="5"/>
        <v>0</v>
      </c>
    </row>
    <row r="377" spans="6:8" x14ac:dyDescent="0.25">
      <c r="F377" s="53"/>
      <c r="G377" s="53"/>
      <c r="H377" s="54">
        <f t="shared" si="5"/>
        <v>0</v>
      </c>
    </row>
    <row r="378" spans="6:8" x14ac:dyDescent="0.25">
      <c r="F378" s="53"/>
      <c r="G378" s="53"/>
      <c r="H378" s="54">
        <f t="shared" si="5"/>
        <v>0</v>
      </c>
    </row>
    <row r="379" spans="6:8" x14ac:dyDescent="0.25">
      <c r="F379" s="53"/>
      <c r="G379" s="53"/>
      <c r="H379" s="54">
        <f t="shared" si="5"/>
        <v>0</v>
      </c>
    </row>
    <row r="380" spans="6:8" x14ac:dyDescent="0.25">
      <c r="F380" s="53"/>
      <c r="G380" s="53"/>
      <c r="H380" s="54">
        <f t="shared" si="5"/>
        <v>0</v>
      </c>
    </row>
    <row r="381" spans="6:8" x14ac:dyDescent="0.25">
      <c r="F381" s="53"/>
      <c r="G381" s="53"/>
      <c r="H381" s="54">
        <f t="shared" si="5"/>
        <v>0</v>
      </c>
    </row>
    <row r="382" spans="6:8" x14ac:dyDescent="0.25">
      <c r="F382" s="53"/>
      <c r="G382" s="53"/>
      <c r="H382" s="54">
        <f t="shared" si="5"/>
        <v>0</v>
      </c>
    </row>
    <row r="383" spans="6:8" x14ac:dyDescent="0.25">
      <c r="F383" s="53"/>
      <c r="G383" s="53"/>
      <c r="H383" s="54">
        <f t="shared" si="5"/>
        <v>0</v>
      </c>
    </row>
    <row r="384" spans="6:8" x14ac:dyDescent="0.25">
      <c r="F384" s="53"/>
      <c r="G384" s="53"/>
      <c r="H384" s="54">
        <f t="shared" si="5"/>
        <v>0</v>
      </c>
    </row>
    <row r="385" spans="6:8" x14ac:dyDescent="0.25">
      <c r="F385" s="53"/>
      <c r="G385" s="53"/>
      <c r="H385" s="54">
        <f t="shared" si="5"/>
        <v>0</v>
      </c>
    </row>
    <row r="386" spans="6:8" x14ac:dyDescent="0.25">
      <c r="F386" s="53"/>
      <c r="G386" s="53"/>
      <c r="H386" s="54">
        <f t="shared" ref="H386:H449" si="6">E386*F386</f>
        <v>0</v>
      </c>
    </row>
    <row r="387" spans="6:8" x14ac:dyDescent="0.25">
      <c r="F387" s="53"/>
      <c r="G387" s="53"/>
      <c r="H387" s="54">
        <f t="shared" si="6"/>
        <v>0</v>
      </c>
    </row>
    <row r="388" spans="6:8" x14ac:dyDescent="0.25">
      <c r="F388" s="53"/>
      <c r="G388" s="53"/>
      <c r="H388" s="54">
        <f t="shared" si="6"/>
        <v>0</v>
      </c>
    </row>
    <row r="389" spans="6:8" x14ac:dyDescent="0.25">
      <c r="F389" s="53"/>
      <c r="G389" s="53"/>
      <c r="H389" s="54">
        <f t="shared" si="6"/>
        <v>0</v>
      </c>
    </row>
    <row r="390" spans="6:8" x14ac:dyDescent="0.25">
      <c r="F390" s="53"/>
      <c r="G390" s="53"/>
      <c r="H390" s="54">
        <f t="shared" si="6"/>
        <v>0</v>
      </c>
    </row>
    <row r="391" spans="6:8" x14ac:dyDescent="0.25">
      <c r="F391" s="53"/>
      <c r="G391" s="53"/>
      <c r="H391" s="54">
        <f t="shared" si="6"/>
        <v>0</v>
      </c>
    </row>
    <row r="392" spans="6:8" x14ac:dyDescent="0.25">
      <c r="F392" s="53"/>
      <c r="G392" s="53"/>
      <c r="H392" s="54">
        <f t="shared" si="6"/>
        <v>0</v>
      </c>
    </row>
    <row r="393" spans="6:8" x14ac:dyDescent="0.25">
      <c r="F393" s="53"/>
      <c r="G393" s="53"/>
      <c r="H393" s="54">
        <f t="shared" si="6"/>
        <v>0</v>
      </c>
    </row>
    <row r="394" spans="6:8" x14ac:dyDescent="0.25">
      <c r="F394" s="53"/>
      <c r="G394" s="53"/>
      <c r="H394" s="54">
        <f t="shared" si="6"/>
        <v>0</v>
      </c>
    </row>
    <row r="395" spans="6:8" x14ac:dyDescent="0.25">
      <c r="F395" s="53"/>
      <c r="G395" s="53"/>
      <c r="H395" s="54">
        <f t="shared" si="6"/>
        <v>0</v>
      </c>
    </row>
    <row r="396" spans="6:8" x14ac:dyDescent="0.25">
      <c r="F396" s="53"/>
      <c r="G396" s="53"/>
      <c r="H396" s="54">
        <f t="shared" si="6"/>
        <v>0</v>
      </c>
    </row>
    <row r="397" spans="6:8" x14ac:dyDescent="0.25">
      <c r="F397" s="53"/>
      <c r="G397" s="53"/>
      <c r="H397" s="54">
        <f t="shared" si="6"/>
        <v>0</v>
      </c>
    </row>
    <row r="398" spans="6:8" x14ac:dyDescent="0.25">
      <c r="F398" s="53"/>
      <c r="G398" s="53"/>
      <c r="H398" s="54">
        <f t="shared" si="6"/>
        <v>0</v>
      </c>
    </row>
    <row r="399" spans="6:8" x14ac:dyDescent="0.25">
      <c r="F399" s="53"/>
      <c r="G399" s="53"/>
      <c r="H399" s="54">
        <f t="shared" si="6"/>
        <v>0</v>
      </c>
    </row>
    <row r="400" spans="6:8" x14ac:dyDescent="0.25">
      <c r="F400" s="53"/>
      <c r="G400" s="53"/>
      <c r="H400" s="54">
        <f t="shared" si="6"/>
        <v>0</v>
      </c>
    </row>
    <row r="401" spans="6:8" x14ac:dyDescent="0.25">
      <c r="F401" s="53"/>
      <c r="G401" s="53"/>
      <c r="H401" s="54">
        <f t="shared" si="6"/>
        <v>0</v>
      </c>
    </row>
    <row r="402" spans="6:8" x14ac:dyDescent="0.25">
      <c r="F402" s="53"/>
      <c r="G402" s="53"/>
      <c r="H402" s="54">
        <f t="shared" si="6"/>
        <v>0</v>
      </c>
    </row>
    <row r="403" spans="6:8" x14ac:dyDescent="0.25">
      <c r="F403" s="53"/>
      <c r="G403" s="53"/>
      <c r="H403" s="54">
        <f t="shared" si="6"/>
        <v>0</v>
      </c>
    </row>
    <row r="404" spans="6:8" x14ac:dyDescent="0.25">
      <c r="F404" s="53"/>
      <c r="G404" s="53"/>
      <c r="H404" s="54">
        <f t="shared" si="6"/>
        <v>0</v>
      </c>
    </row>
    <row r="405" spans="6:8" x14ac:dyDescent="0.25">
      <c r="F405" s="53"/>
      <c r="G405" s="53"/>
      <c r="H405" s="54">
        <f t="shared" si="6"/>
        <v>0</v>
      </c>
    </row>
    <row r="406" spans="6:8" x14ac:dyDescent="0.25">
      <c r="F406" s="53"/>
      <c r="G406" s="53"/>
      <c r="H406" s="54">
        <f t="shared" si="6"/>
        <v>0</v>
      </c>
    </row>
    <row r="407" spans="6:8" x14ac:dyDescent="0.25">
      <c r="F407" s="53"/>
      <c r="G407" s="53"/>
      <c r="H407" s="54">
        <f t="shared" si="6"/>
        <v>0</v>
      </c>
    </row>
    <row r="408" spans="6:8" x14ac:dyDescent="0.25">
      <c r="F408" s="53"/>
      <c r="G408" s="53"/>
      <c r="H408" s="54">
        <f t="shared" si="6"/>
        <v>0</v>
      </c>
    </row>
    <row r="409" spans="6:8" x14ac:dyDescent="0.25">
      <c r="F409" s="53"/>
      <c r="G409" s="53"/>
      <c r="H409" s="54">
        <f t="shared" si="6"/>
        <v>0</v>
      </c>
    </row>
    <row r="410" spans="6:8" x14ac:dyDescent="0.25">
      <c r="F410" s="53"/>
      <c r="G410" s="53"/>
      <c r="H410" s="54">
        <f t="shared" si="6"/>
        <v>0</v>
      </c>
    </row>
    <row r="411" spans="6:8" x14ac:dyDescent="0.25">
      <c r="F411" s="53"/>
      <c r="G411" s="53"/>
      <c r="H411" s="54">
        <f t="shared" si="6"/>
        <v>0</v>
      </c>
    </row>
    <row r="412" spans="6:8" x14ac:dyDescent="0.25">
      <c r="F412" s="53"/>
      <c r="G412" s="53"/>
      <c r="H412" s="54">
        <f t="shared" si="6"/>
        <v>0</v>
      </c>
    </row>
    <row r="413" spans="6:8" x14ac:dyDescent="0.25">
      <c r="F413" s="53"/>
      <c r="G413" s="53"/>
      <c r="H413" s="54">
        <f t="shared" si="6"/>
        <v>0</v>
      </c>
    </row>
    <row r="414" spans="6:8" x14ac:dyDescent="0.25">
      <c r="F414" s="53"/>
      <c r="G414" s="53"/>
      <c r="H414" s="54">
        <f t="shared" si="6"/>
        <v>0</v>
      </c>
    </row>
    <row r="415" spans="6:8" x14ac:dyDescent="0.25">
      <c r="F415" s="53"/>
      <c r="G415" s="53"/>
      <c r="H415" s="54">
        <f t="shared" si="6"/>
        <v>0</v>
      </c>
    </row>
    <row r="416" spans="6:8" x14ac:dyDescent="0.25">
      <c r="F416" s="53"/>
      <c r="G416" s="53"/>
      <c r="H416" s="54">
        <f t="shared" si="6"/>
        <v>0</v>
      </c>
    </row>
    <row r="417" spans="6:8" x14ac:dyDescent="0.25">
      <c r="F417" s="53"/>
      <c r="G417" s="53"/>
      <c r="H417" s="54">
        <f t="shared" si="6"/>
        <v>0</v>
      </c>
    </row>
    <row r="418" spans="6:8" x14ac:dyDescent="0.25">
      <c r="F418" s="53"/>
      <c r="G418" s="53"/>
      <c r="H418" s="54">
        <f t="shared" si="6"/>
        <v>0</v>
      </c>
    </row>
    <row r="419" spans="6:8" x14ac:dyDescent="0.25">
      <c r="F419" s="53"/>
      <c r="G419" s="53"/>
      <c r="H419" s="54">
        <f t="shared" si="6"/>
        <v>0</v>
      </c>
    </row>
    <row r="420" spans="6:8" x14ac:dyDescent="0.25">
      <c r="F420" s="53"/>
      <c r="G420" s="53"/>
      <c r="H420" s="54">
        <f t="shared" si="6"/>
        <v>0</v>
      </c>
    </row>
    <row r="421" spans="6:8" x14ac:dyDescent="0.25">
      <c r="F421" s="53"/>
      <c r="G421" s="53"/>
      <c r="H421" s="54">
        <f t="shared" si="6"/>
        <v>0</v>
      </c>
    </row>
    <row r="422" spans="6:8" x14ac:dyDescent="0.25">
      <c r="F422" s="53"/>
      <c r="G422" s="53"/>
      <c r="H422" s="54">
        <f t="shared" si="6"/>
        <v>0</v>
      </c>
    </row>
    <row r="423" spans="6:8" x14ac:dyDescent="0.25">
      <c r="F423" s="53"/>
      <c r="G423" s="53"/>
      <c r="H423" s="54">
        <f t="shared" si="6"/>
        <v>0</v>
      </c>
    </row>
    <row r="424" spans="6:8" x14ac:dyDescent="0.25">
      <c r="F424" s="53"/>
      <c r="G424" s="53"/>
      <c r="H424" s="54">
        <f t="shared" si="6"/>
        <v>0</v>
      </c>
    </row>
    <row r="425" spans="6:8" x14ac:dyDescent="0.25">
      <c r="F425" s="53"/>
      <c r="G425" s="53"/>
      <c r="H425" s="54">
        <f t="shared" si="6"/>
        <v>0</v>
      </c>
    </row>
    <row r="426" spans="6:8" x14ac:dyDescent="0.25">
      <c r="F426" s="53"/>
      <c r="G426" s="53"/>
      <c r="H426" s="54">
        <f t="shared" si="6"/>
        <v>0</v>
      </c>
    </row>
    <row r="427" spans="6:8" x14ac:dyDescent="0.25">
      <c r="F427" s="53"/>
      <c r="G427" s="53"/>
      <c r="H427" s="54">
        <f t="shared" si="6"/>
        <v>0</v>
      </c>
    </row>
    <row r="428" spans="6:8" x14ac:dyDescent="0.25">
      <c r="F428" s="53"/>
      <c r="G428" s="53"/>
      <c r="H428" s="54">
        <f t="shared" si="6"/>
        <v>0</v>
      </c>
    </row>
    <row r="429" spans="6:8" x14ac:dyDescent="0.25">
      <c r="F429" s="53"/>
      <c r="G429" s="53"/>
      <c r="H429" s="54">
        <f t="shared" si="6"/>
        <v>0</v>
      </c>
    </row>
    <row r="430" spans="6:8" x14ac:dyDescent="0.25">
      <c r="F430" s="53"/>
      <c r="G430" s="53"/>
      <c r="H430" s="54">
        <f t="shared" si="6"/>
        <v>0</v>
      </c>
    </row>
    <row r="431" spans="6:8" x14ac:dyDescent="0.25">
      <c r="F431" s="53"/>
      <c r="G431" s="53"/>
      <c r="H431" s="54">
        <f t="shared" si="6"/>
        <v>0</v>
      </c>
    </row>
    <row r="432" spans="6:8" x14ac:dyDescent="0.25">
      <c r="F432" s="53"/>
      <c r="G432" s="53"/>
      <c r="H432" s="54">
        <f t="shared" si="6"/>
        <v>0</v>
      </c>
    </row>
    <row r="433" spans="6:8" x14ac:dyDescent="0.25">
      <c r="F433" s="53"/>
      <c r="G433" s="53"/>
      <c r="H433" s="54">
        <f t="shared" si="6"/>
        <v>0</v>
      </c>
    </row>
    <row r="434" spans="6:8" x14ac:dyDescent="0.25">
      <c r="F434" s="53"/>
      <c r="G434" s="53"/>
      <c r="H434" s="54">
        <f t="shared" si="6"/>
        <v>0</v>
      </c>
    </row>
    <row r="435" spans="6:8" x14ac:dyDescent="0.25">
      <c r="F435" s="53"/>
      <c r="G435" s="53"/>
      <c r="H435" s="54">
        <f t="shared" si="6"/>
        <v>0</v>
      </c>
    </row>
    <row r="436" spans="6:8" x14ac:dyDescent="0.25">
      <c r="F436" s="53"/>
      <c r="G436" s="53"/>
      <c r="H436" s="54">
        <f t="shared" si="6"/>
        <v>0</v>
      </c>
    </row>
    <row r="437" spans="6:8" x14ac:dyDescent="0.25">
      <c r="F437" s="53"/>
      <c r="G437" s="53"/>
      <c r="H437" s="54">
        <f t="shared" si="6"/>
        <v>0</v>
      </c>
    </row>
    <row r="438" spans="6:8" x14ac:dyDescent="0.25">
      <c r="F438" s="53"/>
      <c r="G438" s="53"/>
      <c r="H438" s="54">
        <f t="shared" si="6"/>
        <v>0</v>
      </c>
    </row>
    <row r="439" spans="6:8" x14ac:dyDescent="0.25">
      <c r="F439" s="53"/>
      <c r="G439" s="53"/>
      <c r="H439" s="54">
        <f t="shared" si="6"/>
        <v>0</v>
      </c>
    </row>
    <row r="440" spans="6:8" x14ac:dyDescent="0.25">
      <c r="F440" s="53"/>
      <c r="G440" s="53"/>
      <c r="H440" s="54">
        <f t="shared" si="6"/>
        <v>0</v>
      </c>
    </row>
    <row r="441" spans="6:8" x14ac:dyDescent="0.25">
      <c r="F441" s="53"/>
      <c r="G441" s="53"/>
      <c r="H441" s="54">
        <f t="shared" si="6"/>
        <v>0</v>
      </c>
    </row>
    <row r="442" spans="6:8" x14ac:dyDescent="0.25">
      <c r="F442" s="53"/>
      <c r="G442" s="53"/>
      <c r="H442" s="54">
        <f t="shared" si="6"/>
        <v>0</v>
      </c>
    </row>
    <row r="443" spans="6:8" x14ac:dyDescent="0.25">
      <c r="F443" s="53"/>
      <c r="G443" s="53"/>
      <c r="H443" s="54">
        <f t="shared" si="6"/>
        <v>0</v>
      </c>
    </row>
    <row r="444" spans="6:8" x14ac:dyDescent="0.25">
      <c r="F444" s="53"/>
      <c r="G444" s="53"/>
      <c r="H444" s="54">
        <f t="shared" si="6"/>
        <v>0</v>
      </c>
    </row>
    <row r="445" spans="6:8" x14ac:dyDescent="0.25">
      <c r="F445" s="53"/>
      <c r="G445" s="53"/>
      <c r="H445" s="54">
        <f t="shared" si="6"/>
        <v>0</v>
      </c>
    </row>
    <row r="446" spans="6:8" x14ac:dyDescent="0.25">
      <c r="F446" s="53"/>
      <c r="G446" s="53"/>
      <c r="H446" s="54">
        <f t="shared" si="6"/>
        <v>0</v>
      </c>
    </row>
    <row r="447" spans="6:8" x14ac:dyDescent="0.25">
      <c r="F447" s="53"/>
      <c r="G447" s="53"/>
      <c r="H447" s="54">
        <f t="shared" si="6"/>
        <v>0</v>
      </c>
    </row>
    <row r="448" spans="6:8" x14ac:dyDescent="0.25">
      <c r="F448" s="53"/>
      <c r="G448" s="53"/>
      <c r="H448" s="54">
        <f t="shared" si="6"/>
        <v>0</v>
      </c>
    </row>
    <row r="449" spans="6:8" x14ac:dyDescent="0.25">
      <c r="F449" s="53"/>
      <c r="G449" s="53"/>
      <c r="H449" s="54">
        <f t="shared" si="6"/>
        <v>0</v>
      </c>
    </row>
    <row r="450" spans="6:8" x14ac:dyDescent="0.25">
      <c r="F450" s="53"/>
      <c r="G450" s="53"/>
      <c r="H450" s="54">
        <f t="shared" ref="H450:H513" si="7">E450*F450</f>
        <v>0</v>
      </c>
    </row>
    <row r="451" spans="6:8" x14ac:dyDescent="0.25">
      <c r="F451" s="53"/>
      <c r="G451" s="53"/>
      <c r="H451" s="54">
        <f t="shared" si="7"/>
        <v>0</v>
      </c>
    </row>
    <row r="452" spans="6:8" x14ac:dyDescent="0.25">
      <c r="F452" s="53"/>
      <c r="G452" s="53"/>
      <c r="H452" s="54">
        <f t="shared" si="7"/>
        <v>0</v>
      </c>
    </row>
    <row r="453" spans="6:8" x14ac:dyDescent="0.25">
      <c r="F453" s="53"/>
      <c r="G453" s="53"/>
      <c r="H453" s="54">
        <f t="shared" si="7"/>
        <v>0</v>
      </c>
    </row>
    <row r="454" spans="6:8" x14ac:dyDescent="0.25">
      <c r="F454" s="53"/>
      <c r="G454" s="53"/>
      <c r="H454" s="54">
        <f t="shared" si="7"/>
        <v>0</v>
      </c>
    </row>
    <row r="455" spans="6:8" x14ac:dyDescent="0.25">
      <c r="F455" s="53"/>
      <c r="G455" s="53"/>
      <c r="H455" s="54">
        <f t="shared" si="7"/>
        <v>0</v>
      </c>
    </row>
    <row r="456" spans="6:8" x14ac:dyDescent="0.25">
      <c r="F456" s="53"/>
      <c r="G456" s="53"/>
      <c r="H456" s="54">
        <f t="shared" si="7"/>
        <v>0</v>
      </c>
    </row>
    <row r="457" spans="6:8" x14ac:dyDescent="0.25">
      <c r="F457" s="53"/>
      <c r="G457" s="53"/>
      <c r="H457" s="54">
        <f t="shared" si="7"/>
        <v>0</v>
      </c>
    </row>
    <row r="458" spans="6:8" x14ac:dyDescent="0.25">
      <c r="F458" s="53"/>
      <c r="G458" s="53"/>
      <c r="H458" s="54">
        <f t="shared" si="7"/>
        <v>0</v>
      </c>
    </row>
    <row r="459" spans="6:8" x14ac:dyDescent="0.25">
      <c r="F459" s="53"/>
      <c r="G459" s="53"/>
      <c r="H459" s="54">
        <f t="shared" si="7"/>
        <v>0</v>
      </c>
    </row>
    <row r="460" spans="6:8" x14ac:dyDescent="0.25">
      <c r="F460" s="53"/>
      <c r="G460" s="53"/>
      <c r="H460" s="54">
        <f t="shared" si="7"/>
        <v>0</v>
      </c>
    </row>
    <row r="461" spans="6:8" x14ac:dyDescent="0.25">
      <c r="F461" s="53"/>
      <c r="G461" s="53"/>
      <c r="H461" s="54">
        <f t="shared" si="7"/>
        <v>0</v>
      </c>
    </row>
    <row r="462" spans="6:8" x14ac:dyDescent="0.25">
      <c r="F462" s="53"/>
      <c r="G462" s="53"/>
      <c r="H462" s="54">
        <f t="shared" si="7"/>
        <v>0</v>
      </c>
    </row>
    <row r="463" spans="6:8" x14ac:dyDescent="0.25">
      <c r="F463" s="53"/>
      <c r="G463" s="53"/>
      <c r="H463" s="54">
        <f t="shared" si="7"/>
        <v>0</v>
      </c>
    </row>
    <row r="464" spans="6:8" x14ac:dyDescent="0.25">
      <c r="F464" s="53"/>
      <c r="G464" s="53"/>
      <c r="H464" s="54">
        <f t="shared" si="7"/>
        <v>0</v>
      </c>
    </row>
    <row r="465" spans="6:8" x14ac:dyDescent="0.25">
      <c r="F465" s="53"/>
      <c r="G465" s="53"/>
      <c r="H465" s="54">
        <f t="shared" si="7"/>
        <v>0</v>
      </c>
    </row>
    <row r="466" spans="6:8" x14ac:dyDescent="0.25">
      <c r="F466" s="53"/>
      <c r="G466" s="53"/>
      <c r="H466" s="54">
        <f t="shared" si="7"/>
        <v>0</v>
      </c>
    </row>
    <row r="467" spans="6:8" x14ac:dyDescent="0.25">
      <c r="F467" s="53"/>
      <c r="G467" s="53"/>
      <c r="H467" s="54">
        <f t="shared" si="7"/>
        <v>0</v>
      </c>
    </row>
    <row r="468" spans="6:8" x14ac:dyDescent="0.25">
      <c r="F468" s="53"/>
      <c r="G468" s="53"/>
      <c r="H468" s="54">
        <f t="shared" si="7"/>
        <v>0</v>
      </c>
    </row>
    <row r="469" spans="6:8" x14ac:dyDescent="0.25">
      <c r="F469" s="53"/>
      <c r="G469" s="53"/>
      <c r="H469" s="54">
        <f t="shared" si="7"/>
        <v>0</v>
      </c>
    </row>
    <row r="470" spans="6:8" x14ac:dyDescent="0.25">
      <c r="F470" s="53"/>
      <c r="G470" s="53"/>
      <c r="H470" s="54">
        <f t="shared" si="7"/>
        <v>0</v>
      </c>
    </row>
    <row r="471" spans="6:8" x14ac:dyDescent="0.25">
      <c r="F471" s="53"/>
      <c r="G471" s="53"/>
      <c r="H471" s="54">
        <f t="shared" si="7"/>
        <v>0</v>
      </c>
    </row>
    <row r="472" spans="6:8" x14ac:dyDescent="0.25">
      <c r="F472" s="53"/>
      <c r="G472" s="53"/>
      <c r="H472" s="54">
        <f t="shared" si="7"/>
        <v>0</v>
      </c>
    </row>
    <row r="473" spans="6:8" x14ac:dyDescent="0.25">
      <c r="F473" s="53"/>
      <c r="G473" s="53"/>
      <c r="H473" s="54">
        <f t="shared" si="7"/>
        <v>0</v>
      </c>
    </row>
    <row r="474" spans="6:8" x14ac:dyDescent="0.25">
      <c r="F474" s="53"/>
      <c r="G474" s="53"/>
      <c r="H474" s="54">
        <f t="shared" si="7"/>
        <v>0</v>
      </c>
    </row>
    <row r="475" spans="6:8" x14ac:dyDescent="0.25">
      <c r="F475" s="53"/>
      <c r="G475" s="53"/>
      <c r="H475" s="54">
        <f t="shared" si="7"/>
        <v>0</v>
      </c>
    </row>
    <row r="476" spans="6:8" x14ac:dyDescent="0.25">
      <c r="F476" s="53"/>
      <c r="G476" s="53"/>
      <c r="H476" s="54">
        <f t="shared" si="7"/>
        <v>0</v>
      </c>
    </row>
    <row r="477" spans="6:8" x14ac:dyDescent="0.25">
      <c r="F477" s="53"/>
      <c r="G477" s="53"/>
      <c r="H477" s="54">
        <f t="shared" si="7"/>
        <v>0</v>
      </c>
    </row>
    <row r="478" spans="6:8" x14ac:dyDescent="0.25">
      <c r="F478" s="53"/>
      <c r="G478" s="53"/>
      <c r="H478" s="54">
        <f t="shared" si="7"/>
        <v>0</v>
      </c>
    </row>
    <row r="479" spans="6:8" x14ac:dyDescent="0.25">
      <c r="F479" s="53"/>
      <c r="G479" s="53"/>
      <c r="H479" s="54">
        <f t="shared" si="7"/>
        <v>0</v>
      </c>
    </row>
    <row r="480" spans="6:8" x14ac:dyDescent="0.25">
      <c r="F480" s="53"/>
      <c r="G480" s="53"/>
      <c r="H480" s="54">
        <f t="shared" si="7"/>
        <v>0</v>
      </c>
    </row>
    <row r="481" spans="6:8" x14ac:dyDescent="0.25">
      <c r="F481" s="53"/>
      <c r="G481" s="53"/>
      <c r="H481" s="54">
        <f t="shared" si="7"/>
        <v>0</v>
      </c>
    </row>
    <row r="482" spans="6:8" x14ac:dyDescent="0.25">
      <c r="F482" s="53"/>
      <c r="G482" s="53"/>
      <c r="H482" s="54">
        <f t="shared" si="7"/>
        <v>0</v>
      </c>
    </row>
    <row r="483" spans="6:8" x14ac:dyDescent="0.25">
      <c r="F483" s="53"/>
      <c r="G483" s="53"/>
      <c r="H483" s="54">
        <f t="shared" si="7"/>
        <v>0</v>
      </c>
    </row>
    <row r="484" spans="6:8" x14ac:dyDescent="0.25">
      <c r="F484" s="53"/>
      <c r="G484" s="53"/>
      <c r="H484" s="54">
        <f t="shared" si="7"/>
        <v>0</v>
      </c>
    </row>
    <row r="485" spans="6:8" x14ac:dyDescent="0.25">
      <c r="F485" s="53"/>
      <c r="G485" s="53"/>
      <c r="H485" s="54">
        <f t="shared" si="7"/>
        <v>0</v>
      </c>
    </row>
    <row r="486" spans="6:8" x14ac:dyDescent="0.25">
      <c r="F486" s="53"/>
      <c r="G486" s="53"/>
      <c r="H486" s="54">
        <f t="shared" si="7"/>
        <v>0</v>
      </c>
    </row>
    <row r="487" spans="6:8" x14ac:dyDescent="0.25">
      <c r="F487" s="53"/>
      <c r="G487" s="53"/>
      <c r="H487" s="54">
        <f t="shared" si="7"/>
        <v>0</v>
      </c>
    </row>
    <row r="488" spans="6:8" x14ac:dyDescent="0.25">
      <c r="F488" s="53"/>
      <c r="G488" s="53"/>
      <c r="H488" s="54">
        <f t="shared" si="7"/>
        <v>0</v>
      </c>
    </row>
    <row r="489" spans="6:8" x14ac:dyDescent="0.25">
      <c r="F489" s="53"/>
      <c r="G489" s="53"/>
      <c r="H489" s="54">
        <f t="shared" si="7"/>
        <v>0</v>
      </c>
    </row>
    <row r="490" spans="6:8" x14ac:dyDescent="0.25">
      <c r="F490" s="53"/>
      <c r="G490" s="53"/>
      <c r="H490" s="54">
        <f t="shared" si="7"/>
        <v>0</v>
      </c>
    </row>
    <row r="491" spans="6:8" x14ac:dyDescent="0.25">
      <c r="F491" s="53"/>
      <c r="G491" s="53"/>
      <c r="H491" s="54">
        <f t="shared" si="7"/>
        <v>0</v>
      </c>
    </row>
    <row r="492" spans="6:8" x14ac:dyDescent="0.25">
      <c r="F492" s="53"/>
      <c r="G492" s="53"/>
      <c r="H492" s="54">
        <f t="shared" si="7"/>
        <v>0</v>
      </c>
    </row>
    <row r="493" spans="6:8" x14ac:dyDescent="0.25">
      <c r="F493" s="53"/>
      <c r="G493" s="53"/>
      <c r="H493" s="54">
        <f t="shared" si="7"/>
        <v>0</v>
      </c>
    </row>
    <row r="494" spans="6:8" x14ac:dyDescent="0.25">
      <c r="F494" s="53"/>
      <c r="G494" s="53"/>
      <c r="H494" s="54">
        <f t="shared" si="7"/>
        <v>0</v>
      </c>
    </row>
    <row r="495" spans="6:8" x14ac:dyDescent="0.25">
      <c r="F495" s="53"/>
      <c r="G495" s="53"/>
      <c r="H495" s="54">
        <f t="shared" si="7"/>
        <v>0</v>
      </c>
    </row>
    <row r="496" spans="6:8" x14ac:dyDescent="0.25">
      <c r="F496" s="53"/>
      <c r="G496" s="53"/>
      <c r="H496" s="54">
        <f t="shared" si="7"/>
        <v>0</v>
      </c>
    </row>
    <row r="497" spans="6:8" x14ac:dyDescent="0.25">
      <c r="F497" s="53"/>
      <c r="G497" s="53"/>
      <c r="H497" s="54">
        <f t="shared" si="7"/>
        <v>0</v>
      </c>
    </row>
    <row r="498" spans="6:8" x14ac:dyDescent="0.25">
      <c r="F498" s="53"/>
      <c r="G498" s="53"/>
      <c r="H498" s="54">
        <f t="shared" si="7"/>
        <v>0</v>
      </c>
    </row>
    <row r="499" spans="6:8" x14ac:dyDescent="0.25">
      <c r="F499" s="53"/>
      <c r="G499" s="53"/>
      <c r="H499" s="54">
        <f t="shared" si="7"/>
        <v>0</v>
      </c>
    </row>
    <row r="500" spans="6:8" x14ac:dyDescent="0.25">
      <c r="F500" s="53"/>
      <c r="G500" s="53"/>
      <c r="H500" s="54">
        <f t="shared" si="7"/>
        <v>0</v>
      </c>
    </row>
    <row r="501" spans="6:8" x14ac:dyDescent="0.25">
      <c r="F501" s="53"/>
      <c r="G501" s="53"/>
      <c r="H501" s="54">
        <f t="shared" si="7"/>
        <v>0</v>
      </c>
    </row>
    <row r="502" spans="6:8" x14ac:dyDescent="0.25">
      <c r="F502" s="53"/>
      <c r="G502" s="53"/>
      <c r="H502" s="54">
        <f t="shared" si="7"/>
        <v>0</v>
      </c>
    </row>
    <row r="503" spans="6:8" x14ac:dyDescent="0.25">
      <c r="F503" s="53"/>
      <c r="G503" s="53"/>
      <c r="H503" s="54">
        <f t="shared" si="7"/>
        <v>0</v>
      </c>
    </row>
    <row r="504" spans="6:8" x14ac:dyDescent="0.25">
      <c r="F504" s="53"/>
      <c r="G504" s="53"/>
      <c r="H504" s="54">
        <f t="shared" si="7"/>
        <v>0</v>
      </c>
    </row>
    <row r="505" spans="6:8" x14ac:dyDescent="0.25">
      <c r="F505" s="53"/>
      <c r="G505" s="53"/>
      <c r="H505" s="54">
        <f t="shared" si="7"/>
        <v>0</v>
      </c>
    </row>
    <row r="506" spans="6:8" x14ac:dyDescent="0.25">
      <c r="F506" s="53"/>
      <c r="G506" s="53"/>
      <c r="H506" s="54">
        <f t="shared" si="7"/>
        <v>0</v>
      </c>
    </row>
    <row r="507" spans="6:8" x14ac:dyDescent="0.25">
      <c r="F507" s="53"/>
      <c r="G507" s="53"/>
      <c r="H507" s="54">
        <f t="shared" si="7"/>
        <v>0</v>
      </c>
    </row>
    <row r="508" spans="6:8" x14ac:dyDescent="0.25">
      <c r="F508" s="53"/>
      <c r="G508" s="53"/>
      <c r="H508" s="54">
        <f t="shared" si="7"/>
        <v>0</v>
      </c>
    </row>
    <row r="509" spans="6:8" x14ac:dyDescent="0.25">
      <c r="F509" s="53"/>
      <c r="G509" s="53"/>
      <c r="H509" s="54">
        <f t="shared" si="7"/>
        <v>0</v>
      </c>
    </row>
    <row r="510" spans="6:8" x14ac:dyDescent="0.25">
      <c r="F510" s="53"/>
      <c r="G510" s="53"/>
      <c r="H510" s="54">
        <f t="shared" si="7"/>
        <v>0</v>
      </c>
    </row>
    <row r="511" spans="6:8" x14ac:dyDescent="0.25">
      <c r="F511" s="53"/>
      <c r="G511" s="53"/>
      <c r="H511" s="54">
        <f t="shared" si="7"/>
        <v>0</v>
      </c>
    </row>
    <row r="512" spans="6:8" x14ac:dyDescent="0.25">
      <c r="F512" s="53"/>
      <c r="G512" s="53"/>
      <c r="H512" s="54">
        <f t="shared" si="7"/>
        <v>0</v>
      </c>
    </row>
    <row r="513" spans="6:8" x14ac:dyDescent="0.25">
      <c r="F513" s="53"/>
      <c r="G513" s="53"/>
      <c r="H513" s="54">
        <f t="shared" si="7"/>
        <v>0</v>
      </c>
    </row>
    <row r="514" spans="6:8" x14ac:dyDescent="0.25">
      <c r="F514" s="53"/>
      <c r="G514" s="53"/>
      <c r="H514" s="54">
        <f t="shared" ref="H514:H577" si="8">E514*F514</f>
        <v>0</v>
      </c>
    </row>
    <row r="515" spans="6:8" x14ac:dyDescent="0.25">
      <c r="F515" s="53"/>
      <c r="G515" s="53"/>
      <c r="H515" s="54">
        <f t="shared" si="8"/>
        <v>0</v>
      </c>
    </row>
    <row r="516" spans="6:8" x14ac:dyDescent="0.25">
      <c r="F516" s="53"/>
      <c r="G516" s="53"/>
      <c r="H516" s="54">
        <f t="shared" si="8"/>
        <v>0</v>
      </c>
    </row>
    <row r="517" spans="6:8" x14ac:dyDescent="0.25">
      <c r="F517" s="53"/>
      <c r="G517" s="53"/>
      <c r="H517" s="54">
        <f t="shared" si="8"/>
        <v>0</v>
      </c>
    </row>
    <row r="518" spans="6:8" x14ac:dyDescent="0.25">
      <c r="F518" s="53"/>
      <c r="G518" s="53"/>
      <c r="H518" s="54">
        <f t="shared" si="8"/>
        <v>0</v>
      </c>
    </row>
    <row r="519" spans="6:8" x14ac:dyDescent="0.25">
      <c r="F519" s="53"/>
      <c r="G519" s="53"/>
      <c r="H519" s="54">
        <f t="shared" si="8"/>
        <v>0</v>
      </c>
    </row>
    <row r="520" spans="6:8" x14ac:dyDescent="0.25">
      <c r="F520" s="53"/>
      <c r="G520" s="53"/>
      <c r="H520" s="54">
        <f t="shared" si="8"/>
        <v>0</v>
      </c>
    </row>
    <row r="521" spans="6:8" x14ac:dyDescent="0.25">
      <c r="F521" s="53"/>
      <c r="G521" s="53"/>
      <c r="H521" s="54">
        <f t="shared" si="8"/>
        <v>0</v>
      </c>
    </row>
    <row r="522" spans="6:8" x14ac:dyDescent="0.25">
      <c r="F522" s="53"/>
      <c r="G522" s="53"/>
      <c r="H522" s="54">
        <f t="shared" si="8"/>
        <v>0</v>
      </c>
    </row>
    <row r="523" spans="6:8" x14ac:dyDescent="0.25">
      <c r="F523" s="53"/>
      <c r="G523" s="53"/>
      <c r="H523" s="54">
        <f t="shared" si="8"/>
        <v>0</v>
      </c>
    </row>
    <row r="524" spans="6:8" x14ac:dyDescent="0.25">
      <c r="F524" s="53"/>
      <c r="G524" s="53"/>
      <c r="H524" s="54">
        <f t="shared" si="8"/>
        <v>0</v>
      </c>
    </row>
    <row r="525" spans="6:8" x14ac:dyDescent="0.25">
      <c r="F525" s="53"/>
      <c r="G525" s="53"/>
      <c r="H525" s="54">
        <f t="shared" si="8"/>
        <v>0</v>
      </c>
    </row>
    <row r="526" spans="6:8" x14ac:dyDescent="0.25">
      <c r="F526" s="53"/>
      <c r="G526" s="53"/>
      <c r="H526" s="54">
        <f t="shared" si="8"/>
        <v>0</v>
      </c>
    </row>
    <row r="527" spans="6:8" x14ac:dyDescent="0.25">
      <c r="F527" s="53"/>
      <c r="G527" s="53"/>
      <c r="H527" s="54">
        <f t="shared" si="8"/>
        <v>0</v>
      </c>
    </row>
    <row r="528" spans="6:8" x14ac:dyDescent="0.25">
      <c r="F528" s="53"/>
      <c r="G528" s="53"/>
      <c r="H528" s="54">
        <f t="shared" si="8"/>
        <v>0</v>
      </c>
    </row>
    <row r="529" spans="6:8" x14ac:dyDescent="0.25">
      <c r="F529" s="53"/>
      <c r="G529" s="53"/>
      <c r="H529" s="54">
        <f t="shared" si="8"/>
        <v>0</v>
      </c>
    </row>
    <row r="530" spans="6:8" x14ac:dyDescent="0.25">
      <c r="F530" s="53"/>
      <c r="G530" s="53"/>
      <c r="H530" s="54">
        <f t="shared" si="8"/>
        <v>0</v>
      </c>
    </row>
    <row r="531" spans="6:8" x14ac:dyDescent="0.25">
      <c r="F531" s="53"/>
      <c r="G531" s="53"/>
      <c r="H531" s="54">
        <f t="shared" si="8"/>
        <v>0</v>
      </c>
    </row>
    <row r="532" spans="6:8" x14ac:dyDescent="0.25">
      <c r="F532" s="53"/>
      <c r="G532" s="53"/>
      <c r="H532" s="54">
        <f t="shared" si="8"/>
        <v>0</v>
      </c>
    </row>
    <row r="533" spans="6:8" x14ac:dyDescent="0.25">
      <c r="F533" s="53"/>
      <c r="G533" s="53"/>
      <c r="H533" s="54">
        <f t="shared" si="8"/>
        <v>0</v>
      </c>
    </row>
    <row r="534" spans="6:8" x14ac:dyDescent="0.25">
      <c r="F534" s="53"/>
      <c r="G534" s="53"/>
      <c r="H534" s="54">
        <f t="shared" si="8"/>
        <v>0</v>
      </c>
    </row>
    <row r="535" spans="6:8" x14ac:dyDescent="0.25">
      <c r="F535" s="53"/>
      <c r="G535" s="53"/>
      <c r="H535" s="54">
        <f t="shared" si="8"/>
        <v>0</v>
      </c>
    </row>
    <row r="536" spans="6:8" x14ac:dyDescent="0.25">
      <c r="F536" s="53"/>
      <c r="G536" s="53"/>
      <c r="H536" s="54">
        <f t="shared" si="8"/>
        <v>0</v>
      </c>
    </row>
    <row r="537" spans="6:8" x14ac:dyDescent="0.25">
      <c r="F537" s="53"/>
      <c r="G537" s="53"/>
      <c r="H537" s="54">
        <f t="shared" si="8"/>
        <v>0</v>
      </c>
    </row>
    <row r="538" spans="6:8" x14ac:dyDescent="0.25">
      <c r="F538" s="53"/>
      <c r="G538" s="53"/>
      <c r="H538" s="54">
        <f t="shared" si="8"/>
        <v>0</v>
      </c>
    </row>
    <row r="539" spans="6:8" x14ac:dyDescent="0.25">
      <c r="F539" s="53"/>
      <c r="G539" s="53"/>
      <c r="H539" s="54">
        <f t="shared" si="8"/>
        <v>0</v>
      </c>
    </row>
    <row r="540" spans="6:8" x14ac:dyDescent="0.25">
      <c r="F540" s="53"/>
      <c r="G540" s="53"/>
      <c r="H540" s="54">
        <f t="shared" si="8"/>
        <v>0</v>
      </c>
    </row>
    <row r="541" spans="6:8" x14ac:dyDescent="0.25">
      <c r="F541" s="53"/>
      <c r="G541" s="53"/>
      <c r="H541" s="54">
        <f t="shared" si="8"/>
        <v>0</v>
      </c>
    </row>
    <row r="542" spans="6:8" x14ac:dyDescent="0.25">
      <c r="F542" s="53"/>
      <c r="G542" s="53"/>
      <c r="H542" s="54">
        <f t="shared" si="8"/>
        <v>0</v>
      </c>
    </row>
    <row r="543" spans="6:8" x14ac:dyDescent="0.25">
      <c r="F543" s="53"/>
      <c r="G543" s="53"/>
      <c r="H543" s="54">
        <f t="shared" si="8"/>
        <v>0</v>
      </c>
    </row>
    <row r="544" spans="6:8" x14ac:dyDescent="0.25">
      <c r="F544" s="53"/>
      <c r="G544" s="53"/>
      <c r="H544" s="54">
        <f t="shared" si="8"/>
        <v>0</v>
      </c>
    </row>
    <row r="545" spans="6:8" x14ac:dyDescent="0.25">
      <c r="F545" s="53"/>
      <c r="G545" s="53"/>
      <c r="H545" s="54">
        <f t="shared" si="8"/>
        <v>0</v>
      </c>
    </row>
    <row r="546" spans="6:8" x14ac:dyDescent="0.25">
      <c r="F546" s="53"/>
      <c r="G546" s="53"/>
      <c r="H546" s="54">
        <f t="shared" si="8"/>
        <v>0</v>
      </c>
    </row>
    <row r="547" spans="6:8" x14ac:dyDescent="0.25">
      <c r="F547" s="53"/>
      <c r="G547" s="53"/>
      <c r="H547" s="54">
        <f t="shared" si="8"/>
        <v>0</v>
      </c>
    </row>
    <row r="548" spans="6:8" x14ac:dyDescent="0.25">
      <c r="F548" s="53"/>
      <c r="G548" s="53"/>
      <c r="H548" s="54">
        <f t="shared" si="8"/>
        <v>0</v>
      </c>
    </row>
    <row r="549" spans="6:8" x14ac:dyDescent="0.25">
      <c r="F549" s="53"/>
      <c r="G549" s="53"/>
      <c r="H549" s="54">
        <f t="shared" si="8"/>
        <v>0</v>
      </c>
    </row>
    <row r="550" spans="6:8" x14ac:dyDescent="0.25">
      <c r="F550" s="53"/>
      <c r="G550" s="53"/>
      <c r="H550" s="54">
        <f t="shared" si="8"/>
        <v>0</v>
      </c>
    </row>
    <row r="551" spans="6:8" x14ac:dyDescent="0.25">
      <c r="F551" s="53"/>
      <c r="G551" s="53"/>
      <c r="H551" s="54">
        <f t="shared" si="8"/>
        <v>0</v>
      </c>
    </row>
    <row r="552" spans="6:8" x14ac:dyDescent="0.25">
      <c r="F552" s="53"/>
      <c r="G552" s="53"/>
      <c r="H552" s="54">
        <f t="shared" si="8"/>
        <v>0</v>
      </c>
    </row>
    <row r="553" spans="6:8" x14ac:dyDescent="0.25">
      <c r="F553" s="53"/>
      <c r="G553" s="53"/>
      <c r="H553" s="54">
        <f t="shared" si="8"/>
        <v>0</v>
      </c>
    </row>
    <row r="554" spans="6:8" x14ac:dyDescent="0.25">
      <c r="F554" s="53"/>
      <c r="G554" s="53"/>
      <c r="H554" s="54">
        <f t="shared" si="8"/>
        <v>0</v>
      </c>
    </row>
    <row r="555" spans="6:8" x14ac:dyDescent="0.25">
      <c r="F555" s="53"/>
      <c r="G555" s="53"/>
      <c r="H555" s="54">
        <f t="shared" si="8"/>
        <v>0</v>
      </c>
    </row>
    <row r="556" spans="6:8" x14ac:dyDescent="0.25">
      <c r="F556" s="53"/>
      <c r="G556" s="53"/>
      <c r="H556" s="54">
        <f t="shared" si="8"/>
        <v>0</v>
      </c>
    </row>
    <row r="557" spans="6:8" x14ac:dyDescent="0.25">
      <c r="F557" s="53"/>
      <c r="G557" s="53"/>
      <c r="H557" s="54">
        <f t="shared" si="8"/>
        <v>0</v>
      </c>
    </row>
    <row r="558" spans="6:8" x14ac:dyDescent="0.25">
      <c r="F558" s="53"/>
      <c r="G558" s="53"/>
      <c r="H558" s="54">
        <f t="shared" si="8"/>
        <v>0</v>
      </c>
    </row>
    <row r="559" spans="6:8" x14ac:dyDescent="0.25">
      <c r="F559" s="53"/>
      <c r="G559" s="53"/>
      <c r="H559" s="54">
        <f t="shared" si="8"/>
        <v>0</v>
      </c>
    </row>
    <row r="560" spans="6:8" x14ac:dyDescent="0.25">
      <c r="F560" s="53"/>
      <c r="G560" s="53"/>
      <c r="H560" s="54">
        <f t="shared" si="8"/>
        <v>0</v>
      </c>
    </row>
    <row r="561" spans="6:8" x14ac:dyDescent="0.25">
      <c r="F561" s="53"/>
      <c r="G561" s="53"/>
      <c r="H561" s="54">
        <f t="shared" si="8"/>
        <v>0</v>
      </c>
    </row>
    <row r="562" spans="6:8" x14ac:dyDescent="0.25">
      <c r="F562" s="53"/>
      <c r="G562" s="53"/>
      <c r="H562" s="54">
        <f t="shared" si="8"/>
        <v>0</v>
      </c>
    </row>
    <row r="563" spans="6:8" x14ac:dyDescent="0.25">
      <c r="F563" s="53"/>
      <c r="G563" s="53"/>
      <c r="H563" s="54">
        <f t="shared" si="8"/>
        <v>0</v>
      </c>
    </row>
    <row r="564" spans="6:8" x14ac:dyDescent="0.25">
      <c r="F564" s="53"/>
      <c r="G564" s="53"/>
      <c r="H564" s="54">
        <f t="shared" si="8"/>
        <v>0</v>
      </c>
    </row>
    <row r="565" spans="6:8" x14ac:dyDescent="0.25">
      <c r="F565" s="53"/>
      <c r="G565" s="53"/>
      <c r="H565" s="54">
        <f t="shared" si="8"/>
        <v>0</v>
      </c>
    </row>
    <row r="566" spans="6:8" x14ac:dyDescent="0.25">
      <c r="F566" s="53"/>
      <c r="G566" s="53"/>
      <c r="H566" s="54">
        <f t="shared" si="8"/>
        <v>0</v>
      </c>
    </row>
    <row r="567" spans="6:8" x14ac:dyDescent="0.25">
      <c r="F567" s="53"/>
      <c r="G567" s="53"/>
      <c r="H567" s="54">
        <f t="shared" si="8"/>
        <v>0</v>
      </c>
    </row>
    <row r="568" spans="6:8" x14ac:dyDescent="0.25">
      <c r="F568" s="53"/>
      <c r="G568" s="53"/>
      <c r="H568" s="54">
        <f t="shared" si="8"/>
        <v>0</v>
      </c>
    </row>
    <row r="569" spans="6:8" x14ac:dyDescent="0.25">
      <c r="F569" s="53"/>
      <c r="G569" s="53"/>
      <c r="H569" s="54">
        <f t="shared" si="8"/>
        <v>0</v>
      </c>
    </row>
    <row r="570" spans="6:8" x14ac:dyDescent="0.25">
      <c r="F570" s="53"/>
      <c r="G570" s="53"/>
      <c r="H570" s="54">
        <f t="shared" si="8"/>
        <v>0</v>
      </c>
    </row>
    <row r="571" spans="6:8" x14ac:dyDescent="0.25">
      <c r="F571" s="53"/>
      <c r="G571" s="53"/>
      <c r="H571" s="54">
        <f t="shared" si="8"/>
        <v>0</v>
      </c>
    </row>
    <row r="572" spans="6:8" x14ac:dyDescent="0.25">
      <c r="F572" s="53"/>
      <c r="G572" s="53"/>
      <c r="H572" s="54">
        <f t="shared" si="8"/>
        <v>0</v>
      </c>
    </row>
    <row r="573" spans="6:8" x14ac:dyDescent="0.25">
      <c r="F573" s="53"/>
      <c r="G573" s="53"/>
      <c r="H573" s="54">
        <f t="shared" si="8"/>
        <v>0</v>
      </c>
    </row>
    <row r="574" spans="6:8" x14ac:dyDescent="0.25">
      <c r="F574" s="53"/>
      <c r="G574" s="53"/>
      <c r="H574" s="54">
        <f t="shared" si="8"/>
        <v>0</v>
      </c>
    </row>
    <row r="575" spans="6:8" x14ac:dyDescent="0.25">
      <c r="F575" s="53"/>
      <c r="G575" s="53"/>
      <c r="H575" s="54">
        <f t="shared" si="8"/>
        <v>0</v>
      </c>
    </row>
    <row r="576" spans="6:8" x14ac:dyDescent="0.25">
      <c r="F576" s="53"/>
      <c r="G576" s="53"/>
      <c r="H576" s="54">
        <f t="shared" si="8"/>
        <v>0</v>
      </c>
    </row>
    <row r="577" spans="6:8" x14ac:dyDescent="0.25">
      <c r="F577" s="53"/>
      <c r="G577" s="53"/>
      <c r="H577" s="54">
        <f t="shared" si="8"/>
        <v>0</v>
      </c>
    </row>
    <row r="578" spans="6:8" x14ac:dyDescent="0.25">
      <c r="F578" s="53"/>
      <c r="G578" s="53"/>
      <c r="H578" s="54">
        <f t="shared" ref="H578:H641" si="9">E578*F578</f>
        <v>0</v>
      </c>
    </row>
    <row r="579" spans="6:8" x14ac:dyDescent="0.25">
      <c r="F579" s="53"/>
      <c r="G579" s="53"/>
      <c r="H579" s="54">
        <f t="shared" si="9"/>
        <v>0</v>
      </c>
    </row>
    <row r="580" spans="6:8" x14ac:dyDescent="0.25">
      <c r="F580" s="53"/>
      <c r="G580" s="53"/>
      <c r="H580" s="54">
        <f t="shared" si="9"/>
        <v>0</v>
      </c>
    </row>
    <row r="581" spans="6:8" x14ac:dyDescent="0.25">
      <c r="F581" s="53"/>
      <c r="G581" s="53"/>
      <c r="H581" s="54">
        <f t="shared" si="9"/>
        <v>0</v>
      </c>
    </row>
    <row r="582" spans="6:8" x14ac:dyDescent="0.25">
      <c r="F582" s="53"/>
      <c r="G582" s="53"/>
      <c r="H582" s="54">
        <f t="shared" si="9"/>
        <v>0</v>
      </c>
    </row>
    <row r="583" spans="6:8" x14ac:dyDescent="0.25">
      <c r="F583" s="53"/>
      <c r="G583" s="53"/>
      <c r="H583" s="54">
        <f t="shared" si="9"/>
        <v>0</v>
      </c>
    </row>
    <row r="584" spans="6:8" x14ac:dyDescent="0.25">
      <c r="F584" s="53"/>
      <c r="G584" s="53"/>
      <c r="H584" s="54">
        <f t="shared" si="9"/>
        <v>0</v>
      </c>
    </row>
    <row r="585" spans="6:8" x14ac:dyDescent="0.25">
      <c r="F585" s="53"/>
      <c r="G585" s="53"/>
      <c r="H585" s="54">
        <f t="shared" si="9"/>
        <v>0</v>
      </c>
    </row>
    <row r="586" spans="6:8" x14ac:dyDescent="0.25">
      <c r="F586" s="53"/>
      <c r="G586" s="53"/>
      <c r="H586" s="54">
        <f t="shared" si="9"/>
        <v>0</v>
      </c>
    </row>
    <row r="587" spans="6:8" x14ac:dyDescent="0.25">
      <c r="F587" s="53"/>
      <c r="G587" s="53"/>
      <c r="H587" s="54">
        <f t="shared" si="9"/>
        <v>0</v>
      </c>
    </row>
    <row r="588" spans="6:8" x14ac:dyDescent="0.25">
      <c r="F588" s="53"/>
      <c r="G588" s="53"/>
      <c r="H588" s="54">
        <f t="shared" si="9"/>
        <v>0</v>
      </c>
    </row>
    <row r="589" spans="6:8" x14ac:dyDescent="0.25">
      <c r="F589" s="53"/>
      <c r="G589" s="53"/>
      <c r="H589" s="54">
        <f t="shared" si="9"/>
        <v>0</v>
      </c>
    </row>
    <row r="590" spans="6:8" x14ac:dyDescent="0.25">
      <c r="F590" s="53"/>
      <c r="G590" s="53"/>
      <c r="H590" s="54">
        <f t="shared" si="9"/>
        <v>0</v>
      </c>
    </row>
    <row r="591" spans="6:8" x14ac:dyDescent="0.25">
      <c r="F591" s="53"/>
      <c r="G591" s="53"/>
      <c r="H591" s="54">
        <f t="shared" si="9"/>
        <v>0</v>
      </c>
    </row>
    <row r="592" spans="6:8" x14ac:dyDescent="0.25">
      <c r="F592" s="53"/>
      <c r="G592" s="53"/>
      <c r="H592" s="54">
        <f t="shared" si="9"/>
        <v>0</v>
      </c>
    </row>
    <row r="593" spans="6:8" x14ac:dyDescent="0.25">
      <c r="F593" s="53"/>
      <c r="G593" s="53"/>
      <c r="H593" s="54">
        <f t="shared" si="9"/>
        <v>0</v>
      </c>
    </row>
    <row r="594" spans="6:8" x14ac:dyDescent="0.25">
      <c r="F594" s="53"/>
      <c r="G594" s="53"/>
      <c r="H594" s="54">
        <f t="shared" si="9"/>
        <v>0</v>
      </c>
    </row>
    <row r="595" spans="6:8" x14ac:dyDescent="0.25">
      <c r="F595" s="53"/>
      <c r="G595" s="53"/>
      <c r="H595" s="54">
        <f t="shared" si="9"/>
        <v>0</v>
      </c>
    </row>
    <row r="596" spans="6:8" x14ac:dyDescent="0.25">
      <c r="F596" s="53"/>
      <c r="G596" s="53"/>
      <c r="H596" s="54">
        <f t="shared" si="9"/>
        <v>0</v>
      </c>
    </row>
    <row r="597" spans="6:8" x14ac:dyDescent="0.25">
      <c r="F597" s="53"/>
      <c r="G597" s="53"/>
      <c r="H597" s="54">
        <f t="shared" si="9"/>
        <v>0</v>
      </c>
    </row>
    <row r="598" spans="6:8" x14ac:dyDescent="0.25">
      <c r="F598" s="53"/>
      <c r="G598" s="53"/>
      <c r="H598" s="54">
        <f t="shared" si="9"/>
        <v>0</v>
      </c>
    </row>
    <row r="599" spans="6:8" x14ac:dyDescent="0.25">
      <c r="F599" s="53"/>
      <c r="G599" s="53"/>
      <c r="H599" s="54">
        <f t="shared" si="9"/>
        <v>0</v>
      </c>
    </row>
    <row r="600" spans="6:8" x14ac:dyDescent="0.25">
      <c r="F600" s="53"/>
      <c r="G600" s="53"/>
      <c r="H600" s="54">
        <f t="shared" si="9"/>
        <v>0</v>
      </c>
    </row>
    <row r="601" spans="6:8" x14ac:dyDescent="0.25">
      <c r="F601" s="53"/>
      <c r="G601" s="53"/>
      <c r="H601" s="54">
        <f t="shared" si="9"/>
        <v>0</v>
      </c>
    </row>
    <row r="602" spans="6:8" x14ac:dyDescent="0.25">
      <c r="F602" s="53"/>
      <c r="G602" s="53"/>
      <c r="H602" s="54">
        <f t="shared" si="9"/>
        <v>0</v>
      </c>
    </row>
    <row r="603" spans="6:8" x14ac:dyDescent="0.25">
      <c r="F603" s="53"/>
      <c r="G603" s="53"/>
      <c r="H603" s="54">
        <f t="shared" si="9"/>
        <v>0</v>
      </c>
    </row>
    <row r="604" spans="6:8" x14ac:dyDescent="0.25">
      <c r="F604" s="53"/>
      <c r="G604" s="53"/>
      <c r="H604" s="54">
        <f t="shared" si="9"/>
        <v>0</v>
      </c>
    </row>
    <row r="605" spans="6:8" x14ac:dyDescent="0.25">
      <c r="F605" s="53"/>
      <c r="G605" s="53"/>
      <c r="H605" s="54">
        <f t="shared" si="9"/>
        <v>0</v>
      </c>
    </row>
    <row r="606" spans="6:8" x14ac:dyDescent="0.25">
      <c r="F606" s="53"/>
      <c r="G606" s="53"/>
      <c r="H606" s="54">
        <f t="shared" si="9"/>
        <v>0</v>
      </c>
    </row>
    <row r="607" spans="6:8" x14ac:dyDescent="0.25">
      <c r="F607" s="53"/>
      <c r="G607" s="53"/>
      <c r="H607" s="54">
        <f t="shared" si="9"/>
        <v>0</v>
      </c>
    </row>
    <row r="608" spans="6:8" x14ac:dyDescent="0.25">
      <c r="F608" s="53"/>
      <c r="G608" s="53"/>
      <c r="H608" s="54">
        <f t="shared" si="9"/>
        <v>0</v>
      </c>
    </row>
    <row r="609" spans="6:8" x14ac:dyDescent="0.25">
      <c r="F609" s="53"/>
      <c r="G609" s="53"/>
      <c r="H609" s="54">
        <f t="shared" si="9"/>
        <v>0</v>
      </c>
    </row>
    <row r="610" spans="6:8" x14ac:dyDescent="0.25">
      <c r="F610" s="53"/>
      <c r="G610" s="53"/>
      <c r="H610" s="54">
        <f t="shared" si="9"/>
        <v>0</v>
      </c>
    </row>
    <row r="611" spans="6:8" x14ac:dyDescent="0.25">
      <c r="F611" s="53"/>
      <c r="G611" s="53"/>
      <c r="H611" s="54">
        <f t="shared" si="9"/>
        <v>0</v>
      </c>
    </row>
    <row r="612" spans="6:8" x14ac:dyDescent="0.25">
      <c r="F612" s="53"/>
      <c r="G612" s="53"/>
      <c r="H612" s="54">
        <f t="shared" si="9"/>
        <v>0</v>
      </c>
    </row>
    <row r="613" spans="6:8" x14ac:dyDescent="0.25">
      <c r="F613" s="53"/>
      <c r="G613" s="53"/>
      <c r="H613" s="54">
        <f t="shared" si="9"/>
        <v>0</v>
      </c>
    </row>
    <row r="614" spans="6:8" x14ac:dyDescent="0.25">
      <c r="F614" s="53"/>
      <c r="G614" s="53"/>
      <c r="H614" s="54">
        <f t="shared" si="9"/>
        <v>0</v>
      </c>
    </row>
    <row r="615" spans="6:8" x14ac:dyDescent="0.25">
      <c r="F615" s="53"/>
      <c r="G615" s="53"/>
      <c r="H615" s="54">
        <f t="shared" si="9"/>
        <v>0</v>
      </c>
    </row>
    <row r="616" spans="6:8" x14ac:dyDescent="0.25">
      <c r="F616" s="53"/>
      <c r="G616" s="53"/>
      <c r="H616" s="54">
        <f t="shared" si="9"/>
        <v>0</v>
      </c>
    </row>
    <row r="617" spans="6:8" x14ac:dyDescent="0.25">
      <c r="F617" s="53"/>
      <c r="G617" s="53"/>
      <c r="H617" s="54">
        <f t="shared" si="9"/>
        <v>0</v>
      </c>
    </row>
    <row r="618" spans="6:8" x14ac:dyDescent="0.25">
      <c r="F618" s="53"/>
      <c r="G618" s="53"/>
      <c r="H618" s="54">
        <f t="shared" si="9"/>
        <v>0</v>
      </c>
    </row>
    <row r="619" spans="6:8" x14ac:dyDescent="0.25">
      <c r="F619" s="53"/>
      <c r="G619" s="53"/>
      <c r="H619" s="54">
        <f t="shared" si="9"/>
        <v>0</v>
      </c>
    </row>
    <row r="620" spans="6:8" x14ac:dyDescent="0.25">
      <c r="F620" s="53"/>
      <c r="G620" s="53"/>
      <c r="H620" s="54">
        <f t="shared" si="9"/>
        <v>0</v>
      </c>
    </row>
    <row r="621" spans="6:8" x14ac:dyDescent="0.25">
      <c r="F621" s="53"/>
      <c r="G621" s="53"/>
      <c r="H621" s="54">
        <f t="shared" si="9"/>
        <v>0</v>
      </c>
    </row>
    <row r="622" spans="6:8" x14ac:dyDescent="0.25">
      <c r="F622" s="53"/>
      <c r="G622" s="53"/>
      <c r="H622" s="54">
        <f t="shared" si="9"/>
        <v>0</v>
      </c>
    </row>
    <row r="623" spans="6:8" x14ac:dyDescent="0.25">
      <c r="F623" s="53"/>
      <c r="G623" s="53"/>
      <c r="H623" s="54">
        <f t="shared" si="9"/>
        <v>0</v>
      </c>
    </row>
    <row r="624" spans="6:8" x14ac:dyDescent="0.25">
      <c r="F624" s="53"/>
      <c r="G624" s="53"/>
      <c r="H624" s="54">
        <f t="shared" si="9"/>
        <v>0</v>
      </c>
    </row>
    <row r="625" spans="6:8" x14ac:dyDescent="0.25">
      <c r="F625" s="53"/>
      <c r="G625" s="53"/>
      <c r="H625" s="54">
        <f t="shared" si="9"/>
        <v>0</v>
      </c>
    </row>
    <row r="626" spans="6:8" x14ac:dyDescent="0.25">
      <c r="F626" s="53"/>
      <c r="G626" s="53"/>
      <c r="H626" s="54">
        <f t="shared" si="9"/>
        <v>0</v>
      </c>
    </row>
    <row r="627" spans="6:8" x14ac:dyDescent="0.25">
      <c r="F627" s="53"/>
      <c r="G627" s="53"/>
      <c r="H627" s="54">
        <f t="shared" si="9"/>
        <v>0</v>
      </c>
    </row>
    <row r="628" spans="6:8" x14ac:dyDescent="0.25">
      <c r="F628" s="53"/>
      <c r="G628" s="53"/>
      <c r="H628" s="54">
        <f t="shared" si="9"/>
        <v>0</v>
      </c>
    </row>
    <row r="629" spans="6:8" x14ac:dyDescent="0.25">
      <c r="F629" s="53"/>
      <c r="G629" s="53"/>
      <c r="H629" s="54">
        <f t="shared" si="9"/>
        <v>0</v>
      </c>
    </row>
    <row r="630" spans="6:8" x14ac:dyDescent="0.25">
      <c r="F630" s="53"/>
      <c r="G630" s="53"/>
      <c r="H630" s="54">
        <f t="shared" si="9"/>
        <v>0</v>
      </c>
    </row>
    <row r="631" spans="6:8" x14ac:dyDescent="0.25">
      <c r="F631" s="53"/>
      <c r="G631" s="53"/>
      <c r="H631" s="54">
        <f t="shared" si="9"/>
        <v>0</v>
      </c>
    </row>
    <row r="632" spans="6:8" x14ac:dyDescent="0.25">
      <c r="F632" s="53"/>
      <c r="G632" s="53"/>
      <c r="H632" s="54">
        <f t="shared" si="9"/>
        <v>0</v>
      </c>
    </row>
    <row r="633" spans="6:8" x14ac:dyDescent="0.25">
      <c r="F633" s="53"/>
      <c r="G633" s="53"/>
      <c r="H633" s="54">
        <f t="shared" si="9"/>
        <v>0</v>
      </c>
    </row>
    <row r="634" spans="6:8" x14ac:dyDescent="0.25">
      <c r="F634" s="53"/>
      <c r="G634" s="53"/>
      <c r="H634" s="54">
        <f t="shared" si="9"/>
        <v>0</v>
      </c>
    </row>
    <row r="635" spans="6:8" x14ac:dyDescent="0.25">
      <c r="F635" s="53"/>
      <c r="G635" s="53"/>
      <c r="H635" s="54">
        <f t="shared" si="9"/>
        <v>0</v>
      </c>
    </row>
    <row r="636" spans="6:8" x14ac:dyDescent="0.25">
      <c r="F636" s="53"/>
      <c r="G636" s="53"/>
      <c r="H636" s="54">
        <f t="shared" si="9"/>
        <v>0</v>
      </c>
    </row>
    <row r="637" spans="6:8" x14ac:dyDescent="0.25">
      <c r="F637" s="53"/>
      <c r="G637" s="53"/>
      <c r="H637" s="54">
        <f t="shared" si="9"/>
        <v>0</v>
      </c>
    </row>
    <row r="638" spans="6:8" x14ac:dyDescent="0.25">
      <c r="F638" s="53"/>
      <c r="G638" s="53"/>
      <c r="H638" s="54">
        <f t="shared" si="9"/>
        <v>0</v>
      </c>
    </row>
    <row r="639" spans="6:8" x14ac:dyDescent="0.25">
      <c r="F639" s="53"/>
      <c r="G639" s="53"/>
      <c r="H639" s="54">
        <f t="shared" si="9"/>
        <v>0</v>
      </c>
    </row>
    <row r="640" spans="6:8" x14ac:dyDescent="0.25">
      <c r="F640" s="53"/>
      <c r="G640" s="53"/>
      <c r="H640" s="54">
        <f t="shared" si="9"/>
        <v>0</v>
      </c>
    </row>
    <row r="641" spans="6:8" x14ac:dyDescent="0.25">
      <c r="F641" s="53"/>
      <c r="G641" s="53"/>
      <c r="H641" s="54">
        <f t="shared" si="9"/>
        <v>0</v>
      </c>
    </row>
    <row r="642" spans="6:8" x14ac:dyDescent="0.25">
      <c r="F642" s="53"/>
      <c r="G642" s="53"/>
      <c r="H642" s="54">
        <f t="shared" ref="H642:H658" si="10">E642*F642</f>
        <v>0</v>
      </c>
    </row>
    <row r="643" spans="6:8" x14ac:dyDescent="0.25">
      <c r="F643" s="53"/>
      <c r="G643" s="53"/>
      <c r="H643" s="54">
        <f t="shared" si="10"/>
        <v>0</v>
      </c>
    </row>
    <row r="644" spans="6:8" x14ac:dyDescent="0.25">
      <c r="F644" s="53"/>
      <c r="G644" s="53"/>
      <c r="H644" s="54">
        <f t="shared" si="10"/>
        <v>0</v>
      </c>
    </row>
    <row r="645" spans="6:8" x14ac:dyDescent="0.25">
      <c r="F645" s="53"/>
      <c r="G645" s="53"/>
      <c r="H645" s="54">
        <f t="shared" si="10"/>
        <v>0</v>
      </c>
    </row>
    <row r="646" spans="6:8" x14ac:dyDescent="0.25">
      <c r="F646" s="53"/>
      <c r="G646" s="53"/>
      <c r="H646" s="54">
        <f t="shared" si="10"/>
        <v>0</v>
      </c>
    </row>
    <row r="647" spans="6:8" x14ac:dyDescent="0.25">
      <c r="F647" s="53"/>
      <c r="G647" s="53"/>
      <c r="H647" s="54">
        <f t="shared" si="10"/>
        <v>0</v>
      </c>
    </row>
    <row r="648" spans="6:8" x14ac:dyDescent="0.25">
      <c r="F648" s="53"/>
      <c r="G648" s="53"/>
      <c r="H648" s="54">
        <f t="shared" si="10"/>
        <v>0</v>
      </c>
    </row>
    <row r="649" spans="6:8" x14ac:dyDescent="0.25">
      <c r="F649" s="53"/>
      <c r="G649" s="53"/>
      <c r="H649" s="54">
        <f t="shared" si="10"/>
        <v>0</v>
      </c>
    </row>
    <row r="650" spans="6:8" x14ac:dyDescent="0.25">
      <c r="F650" s="53"/>
      <c r="G650" s="53"/>
      <c r="H650" s="54">
        <f t="shared" si="10"/>
        <v>0</v>
      </c>
    </row>
    <row r="651" spans="6:8" x14ac:dyDescent="0.25">
      <c r="F651" s="53"/>
      <c r="G651" s="53"/>
      <c r="H651" s="54">
        <f t="shared" si="10"/>
        <v>0</v>
      </c>
    </row>
    <row r="652" spans="6:8" x14ac:dyDescent="0.25">
      <c r="F652" s="53"/>
      <c r="G652" s="53"/>
      <c r="H652" s="54">
        <f t="shared" si="10"/>
        <v>0</v>
      </c>
    </row>
    <row r="653" spans="6:8" x14ac:dyDescent="0.25">
      <c r="F653" s="53"/>
      <c r="G653" s="53"/>
      <c r="H653" s="54">
        <f t="shared" si="10"/>
        <v>0</v>
      </c>
    </row>
    <row r="654" spans="6:8" x14ac:dyDescent="0.25">
      <c r="F654" s="53"/>
      <c r="G654" s="53"/>
      <c r="H654" s="54">
        <f t="shared" si="10"/>
        <v>0</v>
      </c>
    </row>
    <row r="655" spans="6:8" x14ac:dyDescent="0.25">
      <c r="F655" s="53"/>
      <c r="G655" s="53"/>
      <c r="H655" s="54">
        <f t="shared" si="10"/>
        <v>0</v>
      </c>
    </row>
    <row r="656" spans="6:8" x14ac:dyDescent="0.25">
      <c r="F656" s="53"/>
      <c r="G656" s="53"/>
      <c r="H656" s="54">
        <f t="shared" si="10"/>
        <v>0</v>
      </c>
    </row>
    <row r="657" spans="6:8" x14ac:dyDescent="0.25">
      <c r="F657" s="53"/>
      <c r="G657" s="53"/>
      <c r="H657" s="54">
        <f t="shared" si="10"/>
        <v>0</v>
      </c>
    </row>
    <row r="658" spans="6:8" x14ac:dyDescent="0.25">
      <c r="F658" s="53"/>
      <c r="G658" s="53"/>
      <c r="H658" s="54">
        <f t="shared" si="10"/>
        <v>0</v>
      </c>
    </row>
    <row r="659" spans="6:8" x14ac:dyDescent="0.25">
      <c r="F659" s="53"/>
      <c r="G659" s="53"/>
      <c r="H659" s="54">
        <f>SUBTOTAL(109,tbRubrica[Custo Total])</f>
        <v>1700565.3577128681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3ED76E2-0155-4373-A59E-453F52BD6CA2}">
          <x14:formula1>
            <xm:f>Configuração!$A$2:$A$10</xm:f>
          </x14:formula1>
          <xm:sqref>A4:A658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269A-E36D-434C-94AE-87C779C7266B}">
  <dimension ref="A1:AY12"/>
  <sheetViews>
    <sheetView showGridLines="0" topLeftCell="L1" zoomScaleNormal="100" workbookViewId="0">
      <selection activeCell="AB8" sqref="AB8"/>
    </sheetView>
  </sheetViews>
  <sheetFormatPr defaultColWidth="8.85546875" defaultRowHeight="15" x14ac:dyDescent="0.25"/>
  <cols>
    <col min="1" max="1" width="35" bestFit="1" customWidth="1"/>
    <col min="2" max="2" width="35.5703125" style="25" bestFit="1" customWidth="1"/>
    <col min="3" max="3" width="17.42578125" customWidth="1"/>
    <col min="4" max="4" width="12.7109375" bestFit="1" customWidth="1"/>
    <col min="5" max="5" width="12.7109375" customWidth="1"/>
    <col min="6" max="6" width="11.42578125" bestFit="1" customWidth="1"/>
    <col min="7" max="7" width="11.42578125" customWidth="1"/>
    <col min="8" max="8" width="11.42578125" bestFit="1" customWidth="1"/>
    <col min="9" max="9" width="11.42578125" customWidth="1"/>
    <col min="10" max="10" width="11.42578125" bestFit="1" customWidth="1"/>
    <col min="11" max="11" width="11.42578125" customWidth="1"/>
    <col min="12" max="12" width="11.42578125" bestFit="1" customWidth="1"/>
    <col min="13" max="13" width="11.42578125" customWidth="1"/>
    <col min="14" max="14" width="11.42578125" bestFit="1" customWidth="1"/>
    <col min="15" max="21" width="11.42578125" customWidth="1"/>
    <col min="22" max="32" width="12.42578125" customWidth="1"/>
    <col min="33" max="48" width="12.42578125" hidden="1" customWidth="1"/>
    <col min="49" max="49" width="12.7109375" hidden="1" customWidth="1"/>
    <col min="51" max="51" width="12.7109375" bestFit="1" customWidth="1"/>
  </cols>
  <sheetData>
    <row r="1" spans="1:51" x14ac:dyDescent="0.25">
      <c r="A1" s="35" t="s">
        <v>67</v>
      </c>
      <c r="B1" s="35" t="s">
        <v>68</v>
      </c>
      <c r="C1" s="35" t="s">
        <v>455</v>
      </c>
      <c r="D1" s="36" t="s">
        <v>462</v>
      </c>
      <c r="E1" s="40" t="s">
        <v>463</v>
      </c>
      <c r="F1" s="36" t="s">
        <v>464</v>
      </c>
      <c r="G1" s="36" t="s">
        <v>465</v>
      </c>
      <c r="H1" s="36" t="s">
        <v>466</v>
      </c>
      <c r="I1" s="36" t="s">
        <v>467</v>
      </c>
      <c r="J1" s="36" t="s">
        <v>468</v>
      </c>
      <c r="K1" s="36" t="s">
        <v>469</v>
      </c>
      <c r="L1" s="36" t="s">
        <v>470</v>
      </c>
      <c r="M1" s="36" t="s">
        <v>471</v>
      </c>
      <c r="N1" s="36" t="s">
        <v>472</v>
      </c>
      <c r="O1" s="36" t="s">
        <v>473</v>
      </c>
      <c r="P1" s="36" t="s">
        <v>474</v>
      </c>
      <c r="Q1" s="36" t="s">
        <v>475</v>
      </c>
      <c r="R1" s="36" t="s">
        <v>476</v>
      </c>
      <c r="S1" s="36" t="s">
        <v>477</v>
      </c>
      <c r="T1" s="36" t="s">
        <v>478</v>
      </c>
      <c r="U1" s="36" t="s">
        <v>479</v>
      </c>
      <c r="V1" s="36" t="s">
        <v>480</v>
      </c>
      <c r="W1" s="36" t="s">
        <v>481</v>
      </c>
      <c r="X1" s="36" t="s">
        <v>482</v>
      </c>
      <c r="Y1" s="36" t="s">
        <v>483</v>
      </c>
      <c r="Z1" s="36" t="s">
        <v>484</v>
      </c>
      <c r="AA1" s="36" t="s">
        <v>485</v>
      </c>
      <c r="AB1" s="36" t="s">
        <v>486</v>
      </c>
      <c r="AC1" s="36" t="s">
        <v>487</v>
      </c>
      <c r="AD1" s="36" t="s">
        <v>488</v>
      </c>
      <c r="AE1" s="36" t="s">
        <v>489</v>
      </c>
      <c r="AF1" s="36" t="s">
        <v>490</v>
      </c>
      <c r="AG1" s="36" t="s">
        <v>491</v>
      </c>
      <c r="AH1" s="36" t="s">
        <v>492</v>
      </c>
      <c r="AI1" s="36" t="s">
        <v>493</v>
      </c>
      <c r="AJ1" s="36" t="s">
        <v>494</v>
      </c>
      <c r="AK1" s="36" t="s">
        <v>495</v>
      </c>
      <c r="AL1" s="36" t="s">
        <v>496</v>
      </c>
      <c r="AM1" s="36" t="s">
        <v>497</v>
      </c>
      <c r="AN1" s="36" t="s">
        <v>498</v>
      </c>
      <c r="AO1" s="36" t="s">
        <v>499</v>
      </c>
      <c r="AP1" s="36" t="s">
        <v>500</v>
      </c>
      <c r="AQ1" s="36" t="s">
        <v>501</v>
      </c>
      <c r="AR1" s="36" t="s">
        <v>502</v>
      </c>
      <c r="AS1" s="36" t="s">
        <v>503</v>
      </c>
      <c r="AT1" s="36" t="s">
        <v>504</v>
      </c>
      <c r="AU1" s="36" t="s">
        <v>505</v>
      </c>
      <c r="AV1" s="36" t="s">
        <v>506</v>
      </c>
      <c r="AW1" s="36" t="s">
        <v>507</v>
      </c>
    </row>
    <row r="2" spans="1:51" x14ac:dyDescent="0.25">
      <c r="A2" s="38" t="s">
        <v>449</v>
      </c>
      <c r="B2" s="59" t="str">
        <f>_xlfn.XLOOKUP($A2,DBFolha!$A:$A,DBFolha!$B:$B)</f>
        <v>COORDENADOR DE REGULAMENTAÇÃO DE P&amp;D</v>
      </c>
      <c r="C2" s="37">
        <f>_xlfn.XLOOKUP($A2,DBFolha!$A:$A,DBFolha!$C:$C)</f>
        <v>16879</v>
      </c>
      <c r="D2" s="1">
        <f>(tbRHI[[#This Row],[Custo]]/SUM(tbRHI[Custo]))*SUMIFS(tbEquipe[Custo],tbEquipe[Mês],D$1)*Configuração!$D$10</f>
        <v>1748.4050405017167</v>
      </c>
      <c r="E2" s="26">
        <f>tbRHI[[#This Row],[1]]/tbRHI[[#This Row],[Custo]]</f>
        <v>0.10358463419051583</v>
      </c>
      <c r="F2" s="1">
        <f>(tbRHI[[#This Row],[Custo]]/SUM(tbRHI[Custo]))*SUMIFS(tbEquipe[Custo],tbEquipe[Mês],F$1)*Configuração!$D$10</f>
        <v>1809.5671598307524</v>
      </c>
      <c r="G2" s="26">
        <f>tbRHI[[#This Row],[2]]/tbRHI[[#This Row],[Custo]]</f>
        <v>0.10720819715805156</v>
      </c>
      <c r="H2" s="1">
        <f>(tbRHI[[#This Row],[Custo]]/SUM(tbRHI[Custo]))*SUMIFS(tbEquipe[Custo],tbEquipe[Mês],H$1)*Configuração!$D$10</f>
        <v>1809.5671598307524</v>
      </c>
      <c r="I2" s="2">
        <f>tbRHI[[#This Row],[3]]/tbRHI[[#This Row],[Custo]]</f>
        <v>0.10720819715805156</v>
      </c>
      <c r="J2" s="1">
        <f>(tbRHI[[#This Row],[Custo]]/SUM(tbRHI[Custo]))*SUMIFS(tbEquipe[Custo],tbEquipe[Mês],J$1)*Configuração!$D$10</f>
        <v>1809.5671598307524</v>
      </c>
      <c r="K2" s="2">
        <f>tbRHI[[#This Row],[4]]/tbRHI[[#This Row],[Custo]]</f>
        <v>0.10720819715805156</v>
      </c>
      <c r="L2" s="1">
        <f>(tbRHI[[#This Row],[Custo]]/SUM(tbRHI[Custo]))*SUMIFS(tbEquipe[Custo],tbEquipe[Mês],L$1)*Configuração!$D$10</f>
        <v>1809.5671598307524</v>
      </c>
      <c r="M2" s="2">
        <f>tbRHI[[#This Row],[5]]/tbRHI[[#This Row],[Custo]]</f>
        <v>0.10720819715805156</v>
      </c>
      <c r="N2" s="1">
        <f>(tbRHI[[#This Row],[Custo]]/SUM(tbRHI[Custo]))*SUMIFS(tbEquipe[Custo],tbEquipe[Mês],N$1)*Configuração!$D$10</f>
        <v>1809.5671598307524</v>
      </c>
      <c r="O2" s="2">
        <f>tbRHI[[#This Row],[6]]/tbRHI[[#This Row],[Custo]]</f>
        <v>0.10720819715805156</v>
      </c>
      <c r="P2" s="1">
        <f>(tbRHI[[#This Row],[Custo]]/SUM(tbRHI[Custo]))*SUMIFS(tbEquipe[Custo],tbEquipe[Mês],P$1)*Configuração!$D$10</f>
        <v>1809.5671598307524</v>
      </c>
      <c r="Q2" s="2">
        <f>tbRHI[[#This Row],[7]]/tbRHI[[#This Row],[Custo]]</f>
        <v>0.10720819715805156</v>
      </c>
      <c r="R2" s="1">
        <f>(tbRHI[[#This Row],[Custo]]/SUM(tbRHI[Custo]))*SUMIFS(tbEquipe[Custo],tbEquipe[Mês],R$1)*Configuração!$D$10</f>
        <v>1809.5671598307524</v>
      </c>
      <c r="S2" s="2">
        <f>tbRHI[[#This Row],[8]]/tbRHI[[#This Row],[Custo]]</f>
        <v>0.10720819715805156</v>
      </c>
      <c r="T2" s="1">
        <f>(tbRHI[[#This Row],[Custo]]/SUM(tbRHI[Custo]))*SUMIFS(tbEquipe[Custo],tbEquipe[Mês],T$1)*Configuração!$D$10</f>
        <v>1809.5671598307524</v>
      </c>
      <c r="U2" s="2">
        <f>tbRHI[[#This Row],[9]]/tbRHI[[#This Row],[Custo]]</f>
        <v>0.10720819715805156</v>
      </c>
      <c r="V2" s="1">
        <f>(tbRHI[[#This Row],[Custo]]/SUM(tbRHI[Custo]))*SUMIFS(tbEquipe[Custo],tbEquipe[Mês],V$1)*Configuração!$D$10</f>
        <v>1809.5671598307524</v>
      </c>
      <c r="W2" s="2">
        <f>tbRHI[[#This Row],[10]]/tbRHI[[#This Row],[Custo]]</f>
        <v>0.10720819715805156</v>
      </c>
      <c r="X2" s="1">
        <f>(tbRHI[[#This Row],[Custo]]/SUM(tbRHI[Custo]))*SUMIFS(tbEquipe[Custo],tbEquipe[Mês],X$1)*Configuração!$D$10</f>
        <v>1809.5671598307524</v>
      </c>
      <c r="Y2" s="2">
        <f>tbRHI[[#This Row],[11]]/tbRHI[[#This Row],[Custo]]</f>
        <v>0.10720819715805156</v>
      </c>
      <c r="Z2" s="1">
        <f>(tbRHI[[#This Row],[Custo]]/SUM(tbRHI[Custo]))*SUMIFS(tbEquipe[Custo],tbEquipe[Mês],Z$1)*Configuração!$D$10</f>
        <v>1809.5671598307524</v>
      </c>
      <c r="AA2" s="2">
        <f>tbRHI[[#This Row],[12]]/tbRHI[[#This Row],[Custo]]</f>
        <v>0.10720819715805156</v>
      </c>
      <c r="AB2" s="1">
        <f>(tbRHI[[#This Row],[Custo]]/SUM(tbRHI[Custo]))*SUMIFS(tbEquipe[Custo],tbEquipe[Mês],AB$1)*Configuração!$D$10</f>
        <v>141.38138925536495</v>
      </c>
      <c r="AC2" s="2">
        <f>tbRHI[[#This Row],[13]]/tbRHI[[#This Row],[Custo]]</f>
        <v>8.376170937577164E-3</v>
      </c>
      <c r="AD2" s="1">
        <f>(tbRHI[[#This Row],[Custo]]/SUM(tbRHI[Custo]))*SUMIFS(tbEquipe[Custo],tbEquipe[Mês],AD$1)*Configuração!$D$10</f>
        <v>149.86427261068684</v>
      </c>
      <c r="AE2" s="2">
        <f>tbRHI[[#This Row],[14]]/tbRHI[[#This Row],[Custo]]</f>
        <v>8.8787411938317934E-3</v>
      </c>
      <c r="AF2" s="1">
        <f>(tbRHI[[#This Row],[Custo]]/SUM(tbRHI[Custo]))*SUMIFS(tbEquipe[Custo],tbEquipe[Mês],AF$1)*Configuração!$D$10</f>
        <v>149.86427261068684</v>
      </c>
      <c r="AG2" s="2">
        <f>tbRHI[[#This Row],[15]]/tbRHI[[#This Row],[Custo]]</f>
        <v>8.8787411938317934E-3</v>
      </c>
      <c r="AH2" s="1">
        <f>(tbRHI[[#This Row],[Custo]]/SUM(tbRHI[Custo]))*SUMIFS(tbEquipe[Custo],tbEquipe[Mês],AH$1)*Configuração!$D$10</f>
        <v>0</v>
      </c>
      <c r="AI2" s="2">
        <f>tbRHI[[#This Row],[16]]/tbRHI[[#This Row],[Custo]]</f>
        <v>0</v>
      </c>
      <c r="AJ2" s="1">
        <f>(tbRHI[[#This Row],[Custo]]/SUM(tbRHI[Custo]))*SUMIFS(tbEquipe[Custo],tbEquipe[Mês],AJ$1)*Configuração!$D$10</f>
        <v>0</v>
      </c>
      <c r="AK2" s="2">
        <f>tbRHI[[#This Row],[17]]/tbRHI[[#This Row],[Custo]]</f>
        <v>0</v>
      </c>
      <c r="AL2" s="1">
        <f>(tbRHI[[#This Row],[Custo]]/SUM(tbRHI[Custo]))*SUMIFS(tbEquipe[Custo],tbEquipe[Mês],AL$1)*Configuração!$D$10</f>
        <v>0</v>
      </c>
      <c r="AM2" s="2">
        <f>tbRHI[[#This Row],[18]]/tbRHI[[#This Row],[Custo]]</f>
        <v>0</v>
      </c>
      <c r="AN2" s="1">
        <f>(tbRHI[[#This Row],[Custo]]/SUM(tbRHI[Custo]))*SUMIFS(tbEquipe[Custo],tbEquipe[Mês],AN$1)*Configuração!$D$10</f>
        <v>0</v>
      </c>
      <c r="AO2" s="2">
        <f>tbRHI[[#This Row],[19]]/tbRHI[[#This Row],[Custo]]</f>
        <v>0</v>
      </c>
      <c r="AP2" s="1">
        <f>(tbRHI[[#This Row],[Custo]]/SUM(tbRHI[Custo]))*SUMIFS(tbEquipe[Custo],tbEquipe[Mês],AP$1)*Configuração!$D$10</f>
        <v>0</v>
      </c>
      <c r="AQ2" s="2">
        <f>tbRHI[[#This Row],[20]]/tbRHI[[#This Row],[Custo]]</f>
        <v>0</v>
      </c>
      <c r="AR2" s="1">
        <f>(tbRHI[[#This Row],[Custo]]/SUM(tbRHI[Custo]))*SUMIFS(tbEquipe[Custo],tbEquipe[Mês],AR$1)*Configuração!$D$10</f>
        <v>0</v>
      </c>
      <c r="AS2" s="2">
        <f>tbRHI[[#This Row],[21]]/tbRHI[[#This Row],[Custo]]</f>
        <v>0</v>
      </c>
      <c r="AT2" s="1">
        <f>(tbRHI[[#This Row],[Custo]]/SUM(tbRHI[Custo]))*SUMIFS(tbEquipe[Custo],tbEquipe[Mês],AT$1)*Configuração!$D$10</f>
        <v>0</v>
      </c>
      <c r="AU2" s="2">
        <f>tbRHI[[#This Row],[22]]/tbRHI[[#This Row],[Custo]]</f>
        <v>0</v>
      </c>
      <c r="AV2" s="1">
        <f>(tbRHI[[#This Row],[Custo]]/SUM(tbRHI[Custo]))*SUMIFS(tbEquipe[Custo],tbEquipe[Mês],AV$1)*Configuração!$D$10</f>
        <v>0</v>
      </c>
      <c r="AW2" s="34">
        <f>tbRHI[[#This Row],[23]]/tbRHI[[#This Row],[Custo]]</f>
        <v>0</v>
      </c>
    </row>
    <row r="3" spans="1:51" x14ac:dyDescent="0.25">
      <c r="A3" s="38" t="s">
        <v>246</v>
      </c>
      <c r="B3" s="59" t="str">
        <f>_xlfn.XLOOKUP($A3,DBFolha!$A:$A,DBFolha!$B:$B)</f>
        <v>DIRETOR PD&amp;I E NEGÓCIOS</v>
      </c>
      <c r="C3" s="37">
        <f>_xlfn.XLOOKUP($A3,DBFolha!$A:$A,DBFolha!$C:$C)</f>
        <v>35000</v>
      </c>
      <c r="D3" s="1">
        <f>(tbRHI[[#This Row],[Custo]]/SUM(tbRHI[Custo]))*SUMIFS(tbEquipe[Custo],tbEquipe[Mês],D$1)*Configuração!$D$10</f>
        <v>3625.4621966680552</v>
      </c>
      <c r="E3" s="26">
        <f>tbRHI[[#This Row],[1]]/tbRHI[[#This Row],[Custo]]</f>
        <v>0.10358463419051586</v>
      </c>
      <c r="F3" s="1">
        <f>(tbRHI[[#This Row],[Custo]]/SUM(tbRHI[Custo]))*SUMIFS(tbEquipe[Custo],tbEquipe[Mês],F$1)*Configuração!$D$10</f>
        <v>3752.2869005318048</v>
      </c>
      <c r="G3" s="26">
        <f>tbRHI[[#This Row],[2]]/tbRHI[[#This Row],[Custo]]</f>
        <v>0.10720819715805156</v>
      </c>
      <c r="H3" s="1">
        <f>(tbRHI[[#This Row],[Custo]]/SUM(tbRHI[Custo]))*SUMIFS(tbEquipe[Custo],tbEquipe[Mês],H$1)*Configuração!$D$10</f>
        <v>3752.2869005318048</v>
      </c>
      <c r="I3" s="2">
        <f>tbRHI[[#This Row],[3]]/tbRHI[[#This Row],[Custo]]</f>
        <v>0.10720819715805156</v>
      </c>
      <c r="J3" s="1">
        <f>(tbRHI[[#This Row],[Custo]]/SUM(tbRHI[Custo]))*SUMIFS(tbEquipe[Custo],tbEquipe[Mês],J$1)*Configuração!$D$10</f>
        <v>3752.2869005318048</v>
      </c>
      <c r="K3" s="2">
        <f>tbRHI[[#This Row],[4]]/tbRHI[[#This Row],[Custo]]</f>
        <v>0.10720819715805156</v>
      </c>
      <c r="L3" s="1">
        <f>(tbRHI[[#This Row],[Custo]]/SUM(tbRHI[Custo]))*SUMIFS(tbEquipe[Custo],tbEquipe[Mês],L$1)*Configuração!$D$10</f>
        <v>3752.2869005318048</v>
      </c>
      <c r="M3" s="2">
        <f>tbRHI[[#This Row],[5]]/tbRHI[[#This Row],[Custo]]</f>
        <v>0.10720819715805156</v>
      </c>
      <c r="N3" s="1">
        <f>(tbRHI[[#This Row],[Custo]]/SUM(tbRHI[Custo]))*SUMIFS(tbEquipe[Custo],tbEquipe[Mês],N$1)*Configuração!$D$10</f>
        <v>3752.2869005318048</v>
      </c>
      <c r="O3" s="2">
        <f>tbRHI[[#This Row],[6]]/tbRHI[[#This Row],[Custo]]</f>
        <v>0.10720819715805156</v>
      </c>
      <c r="P3" s="1">
        <f>(tbRHI[[#This Row],[Custo]]/SUM(tbRHI[Custo]))*SUMIFS(tbEquipe[Custo],tbEquipe[Mês],P$1)*Configuração!$D$10</f>
        <v>3752.2869005318048</v>
      </c>
      <c r="Q3" s="2">
        <f>tbRHI[[#This Row],[7]]/tbRHI[[#This Row],[Custo]]</f>
        <v>0.10720819715805156</v>
      </c>
      <c r="R3" s="1">
        <f>(tbRHI[[#This Row],[Custo]]/SUM(tbRHI[Custo]))*SUMIFS(tbEquipe[Custo],tbEquipe[Mês],R$1)*Configuração!$D$10</f>
        <v>3752.2869005318048</v>
      </c>
      <c r="S3" s="2">
        <f>tbRHI[[#This Row],[8]]/tbRHI[[#This Row],[Custo]]</f>
        <v>0.10720819715805156</v>
      </c>
      <c r="T3" s="1">
        <f>(tbRHI[[#This Row],[Custo]]/SUM(tbRHI[Custo]))*SUMIFS(tbEquipe[Custo],tbEquipe[Mês],T$1)*Configuração!$D$10</f>
        <v>3752.2869005318048</v>
      </c>
      <c r="U3" s="2">
        <f>tbRHI[[#This Row],[9]]/tbRHI[[#This Row],[Custo]]</f>
        <v>0.10720819715805156</v>
      </c>
      <c r="V3" s="1">
        <f>(tbRHI[[#This Row],[Custo]]/SUM(tbRHI[Custo]))*SUMIFS(tbEquipe[Custo],tbEquipe[Mês],V$1)*Configuração!$D$10</f>
        <v>3752.2869005318048</v>
      </c>
      <c r="W3" s="2">
        <f>tbRHI[[#This Row],[10]]/tbRHI[[#This Row],[Custo]]</f>
        <v>0.10720819715805156</v>
      </c>
      <c r="X3" s="1">
        <f>(tbRHI[[#This Row],[Custo]]/SUM(tbRHI[Custo]))*SUMIFS(tbEquipe[Custo],tbEquipe[Mês],X$1)*Configuração!$D$10</f>
        <v>3752.2869005318048</v>
      </c>
      <c r="Y3" s="2">
        <f>tbRHI[[#This Row],[11]]/tbRHI[[#This Row],[Custo]]</f>
        <v>0.10720819715805156</v>
      </c>
      <c r="Z3" s="1">
        <f>(tbRHI[[#This Row],[Custo]]/SUM(tbRHI[Custo]))*SUMIFS(tbEquipe[Custo],tbEquipe[Mês],Z$1)*Configuração!$D$10</f>
        <v>3752.2869005318048</v>
      </c>
      <c r="AA3" s="2">
        <f>tbRHI[[#This Row],[12]]/tbRHI[[#This Row],[Custo]]</f>
        <v>0.10720819715805156</v>
      </c>
      <c r="AB3" s="1">
        <f>(tbRHI[[#This Row],[Custo]]/SUM(tbRHI[Custo]))*SUMIFS(tbEquipe[Custo],tbEquipe[Mês],AB$1)*Configuração!$D$10</f>
        <v>293.16598281520078</v>
      </c>
      <c r="AC3" s="2">
        <f>tbRHI[[#This Row],[13]]/tbRHI[[#This Row],[Custo]]</f>
        <v>8.3761709375771657E-3</v>
      </c>
      <c r="AD3" s="1">
        <f>(tbRHI[[#This Row],[Custo]]/SUM(tbRHI[Custo]))*SUMIFS(tbEquipe[Custo],tbEquipe[Mês],AD$1)*Configuração!$D$10</f>
        <v>310.75594178411285</v>
      </c>
      <c r="AE3" s="2">
        <f>tbRHI[[#This Row],[14]]/tbRHI[[#This Row],[Custo]]</f>
        <v>8.8787411938317951E-3</v>
      </c>
      <c r="AF3" s="1">
        <f>(tbRHI[[#This Row],[Custo]]/SUM(tbRHI[Custo]))*SUMIFS(tbEquipe[Custo],tbEquipe[Mês],AF$1)*Configuração!$D$10</f>
        <v>310.75594178411285</v>
      </c>
      <c r="AG3" s="2">
        <f>tbRHI[[#This Row],[15]]/tbRHI[[#This Row],[Custo]]</f>
        <v>8.8787411938317951E-3</v>
      </c>
      <c r="AH3" s="1">
        <f>(tbRHI[[#This Row],[Custo]]/SUM(tbRHI[Custo]))*SUMIFS(tbEquipe[Custo],tbEquipe[Mês],AH$1)*Configuração!$D$10</f>
        <v>0</v>
      </c>
      <c r="AI3" s="2">
        <f>tbRHI[[#This Row],[16]]/tbRHI[[#This Row],[Custo]]</f>
        <v>0</v>
      </c>
      <c r="AJ3" s="1">
        <f>(tbRHI[[#This Row],[Custo]]/SUM(tbRHI[Custo]))*SUMIFS(tbEquipe[Custo],tbEquipe[Mês],AJ$1)*Configuração!$D$10</f>
        <v>0</v>
      </c>
      <c r="AK3" s="2">
        <f>tbRHI[[#This Row],[17]]/tbRHI[[#This Row],[Custo]]</f>
        <v>0</v>
      </c>
      <c r="AL3" s="1">
        <f>(tbRHI[[#This Row],[Custo]]/SUM(tbRHI[Custo]))*SUMIFS(tbEquipe[Custo],tbEquipe[Mês],AL$1)*Configuração!$D$10</f>
        <v>0</v>
      </c>
      <c r="AM3" s="2">
        <f>tbRHI[[#This Row],[18]]/tbRHI[[#This Row],[Custo]]</f>
        <v>0</v>
      </c>
      <c r="AN3" s="1">
        <f>(tbRHI[[#This Row],[Custo]]/SUM(tbRHI[Custo]))*SUMIFS(tbEquipe[Custo],tbEquipe[Mês],AN$1)*Configuração!$D$10</f>
        <v>0</v>
      </c>
      <c r="AO3" s="2">
        <f>tbRHI[[#This Row],[19]]/tbRHI[[#This Row],[Custo]]</f>
        <v>0</v>
      </c>
      <c r="AP3" s="1">
        <f>(tbRHI[[#This Row],[Custo]]/SUM(tbRHI[Custo]))*SUMIFS(tbEquipe[Custo],tbEquipe[Mês],AP$1)*Configuração!$D$10</f>
        <v>0</v>
      </c>
      <c r="AQ3" s="2">
        <f>tbRHI[[#This Row],[20]]/tbRHI[[#This Row],[Custo]]</f>
        <v>0</v>
      </c>
      <c r="AR3" s="1">
        <f>(tbRHI[[#This Row],[Custo]]/SUM(tbRHI[Custo]))*SUMIFS(tbEquipe[Custo],tbEquipe[Mês],AR$1)*Configuração!$D$10</f>
        <v>0</v>
      </c>
      <c r="AS3" s="2">
        <f>tbRHI[[#This Row],[21]]/tbRHI[[#This Row],[Custo]]</f>
        <v>0</v>
      </c>
      <c r="AT3" s="1">
        <f>(tbRHI[[#This Row],[Custo]]/SUM(tbRHI[Custo]))*SUMIFS(tbEquipe[Custo],tbEquipe[Mês],AT$1)*Configuração!$D$10</f>
        <v>0</v>
      </c>
      <c r="AU3" s="2">
        <f>tbRHI[[#This Row],[22]]/tbRHI[[#This Row],[Custo]]</f>
        <v>0</v>
      </c>
      <c r="AV3" s="1">
        <f>(tbRHI[[#This Row],[Custo]]/SUM(tbRHI[Custo]))*SUMIFS(tbEquipe[Custo],tbEquipe[Mês],AV$1)*Configuração!$D$10</f>
        <v>0</v>
      </c>
      <c r="AW3" s="34">
        <f>tbRHI[[#This Row],[23]]/tbRHI[[#This Row],[Custo]]</f>
        <v>0</v>
      </c>
    </row>
    <row r="4" spans="1:51" x14ac:dyDescent="0.25">
      <c r="A4" s="38" t="s">
        <v>422</v>
      </c>
      <c r="B4" s="59" t="str">
        <f>_xlfn.XLOOKUP($A4,DBFolha!$A:$A,DBFolha!$B:$B)</f>
        <v>ANALISTA DE RH SR</v>
      </c>
      <c r="C4" s="37">
        <f>_xlfn.XLOOKUP($A4,DBFolha!$A:$A,DBFolha!$C:$C)</f>
        <v>13518.782857781513</v>
      </c>
      <c r="D4" s="1">
        <f>(tbRHI[[#This Row],[Custo]]/SUM(tbRHI[Custo]))*SUMIFS(tbEquipe[Custo],tbEquipe[Mês],D$1)*Configuração!$D$10</f>
        <v>1400.3381770243145</v>
      </c>
      <c r="E4" s="26">
        <f>tbRHI[[#This Row],[1]]/tbRHI[[#This Row],[Custo]]</f>
        <v>0.10358463419051586</v>
      </c>
      <c r="F4" s="1">
        <f>(tbRHI[[#This Row],[Custo]]/SUM(tbRHI[Custo]))*SUMIFS(tbEquipe[Custo],tbEquipe[Mês],F$1)*Configuração!$D$10</f>
        <v>1449.3243379539283</v>
      </c>
      <c r="G4" s="26">
        <f>tbRHI[[#This Row],[2]]/tbRHI[[#This Row],[Custo]]</f>
        <v>0.10720819715805158</v>
      </c>
      <c r="H4" s="1">
        <f>(tbRHI[[#This Row],[Custo]]/SUM(tbRHI[Custo]))*SUMIFS(tbEquipe[Custo],tbEquipe[Mês],H$1)*Configuração!$D$10</f>
        <v>1449.3243379539283</v>
      </c>
      <c r="I4" s="2">
        <f>tbRHI[[#This Row],[3]]/tbRHI[[#This Row],[Custo]]</f>
        <v>0.10720819715805158</v>
      </c>
      <c r="J4" s="1">
        <f>(tbRHI[[#This Row],[Custo]]/SUM(tbRHI[Custo]))*SUMIFS(tbEquipe[Custo],tbEquipe[Mês],J$1)*Configuração!$D$10</f>
        <v>1449.3243379539283</v>
      </c>
      <c r="K4" s="2">
        <f>tbRHI[[#This Row],[4]]/tbRHI[[#This Row],[Custo]]</f>
        <v>0.10720819715805158</v>
      </c>
      <c r="L4" s="1">
        <f>(tbRHI[[#This Row],[Custo]]/SUM(tbRHI[Custo]))*SUMIFS(tbEquipe[Custo],tbEquipe[Mês],L$1)*Configuração!$D$10</f>
        <v>1449.3243379539283</v>
      </c>
      <c r="M4" s="2">
        <f>tbRHI[[#This Row],[5]]/tbRHI[[#This Row],[Custo]]</f>
        <v>0.10720819715805158</v>
      </c>
      <c r="N4" s="1">
        <f>(tbRHI[[#This Row],[Custo]]/SUM(tbRHI[Custo]))*SUMIFS(tbEquipe[Custo],tbEquipe[Mês],N$1)*Configuração!$D$10</f>
        <v>1449.3243379539283</v>
      </c>
      <c r="O4" s="2">
        <f>tbRHI[[#This Row],[6]]/tbRHI[[#This Row],[Custo]]</f>
        <v>0.10720819715805158</v>
      </c>
      <c r="P4" s="1">
        <f>(tbRHI[[#This Row],[Custo]]/SUM(tbRHI[Custo]))*SUMIFS(tbEquipe[Custo],tbEquipe[Mês],P$1)*Configuração!$D$10</f>
        <v>1449.3243379539283</v>
      </c>
      <c r="Q4" s="2">
        <f>tbRHI[[#This Row],[7]]/tbRHI[[#This Row],[Custo]]</f>
        <v>0.10720819715805158</v>
      </c>
      <c r="R4" s="1">
        <f>(tbRHI[[#This Row],[Custo]]/SUM(tbRHI[Custo]))*SUMIFS(tbEquipe[Custo],tbEquipe[Mês],R$1)*Configuração!$D$10</f>
        <v>1449.3243379539283</v>
      </c>
      <c r="S4" s="2">
        <f>tbRHI[[#This Row],[8]]/tbRHI[[#This Row],[Custo]]</f>
        <v>0.10720819715805158</v>
      </c>
      <c r="T4" s="1">
        <f>(tbRHI[[#This Row],[Custo]]/SUM(tbRHI[Custo]))*SUMIFS(tbEquipe[Custo],tbEquipe[Mês],T$1)*Configuração!$D$10</f>
        <v>1449.3243379539283</v>
      </c>
      <c r="U4" s="2">
        <f>tbRHI[[#This Row],[9]]/tbRHI[[#This Row],[Custo]]</f>
        <v>0.10720819715805158</v>
      </c>
      <c r="V4" s="1">
        <f>(tbRHI[[#This Row],[Custo]]/SUM(tbRHI[Custo]))*SUMIFS(tbEquipe[Custo],tbEquipe[Mês],V$1)*Configuração!$D$10</f>
        <v>1449.3243379539283</v>
      </c>
      <c r="W4" s="2">
        <f>tbRHI[[#This Row],[10]]/tbRHI[[#This Row],[Custo]]</f>
        <v>0.10720819715805158</v>
      </c>
      <c r="X4" s="1">
        <f>(tbRHI[[#This Row],[Custo]]/SUM(tbRHI[Custo]))*SUMIFS(tbEquipe[Custo],tbEquipe[Mês],X$1)*Configuração!$D$10</f>
        <v>1449.3243379539283</v>
      </c>
      <c r="Y4" s="2">
        <f>tbRHI[[#This Row],[11]]/tbRHI[[#This Row],[Custo]]</f>
        <v>0.10720819715805158</v>
      </c>
      <c r="Z4" s="1">
        <f>(tbRHI[[#This Row],[Custo]]/SUM(tbRHI[Custo]))*SUMIFS(tbEquipe[Custo],tbEquipe[Mês],Z$1)*Configuração!$D$10</f>
        <v>1449.3243379539283</v>
      </c>
      <c r="AA4" s="2">
        <f>tbRHI[[#This Row],[12]]/tbRHI[[#This Row],[Custo]]</f>
        <v>0.10720819715805158</v>
      </c>
      <c r="AB4" s="1">
        <f>(tbRHI[[#This Row],[Custo]]/SUM(tbRHI[Custo]))*SUMIFS(tbEquipe[Custo],tbEquipe[Mês],AB$1)*Configuração!$D$10</f>
        <v>113.23563608476587</v>
      </c>
      <c r="AC4" s="2">
        <f>tbRHI[[#This Row],[13]]/tbRHI[[#This Row],[Custo]]</f>
        <v>8.376170937577164E-3</v>
      </c>
      <c r="AD4" s="1">
        <f>(tbRHI[[#This Row],[Custo]]/SUM(tbRHI[Custo]))*SUMIFS(tbEquipe[Custo],tbEquipe[Mês],AD$1)*Configuração!$D$10</f>
        <v>120.02977424985184</v>
      </c>
      <c r="AE4" s="2">
        <f>tbRHI[[#This Row],[14]]/tbRHI[[#This Row],[Custo]]</f>
        <v>8.8787411938317951E-3</v>
      </c>
      <c r="AF4" s="1">
        <f>(tbRHI[[#This Row],[Custo]]/SUM(tbRHI[Custo]))*SUMIFS(tbEquipe[Custo],tbEquipe[Mês],AF$1)*Configuração!$D$10</f>
        <v>120.02977424985184</v>
      </c>
      <c r="AG4" s="2">
        <f>tbRHI[[#This Row],[15]]/tbRHI[[#This Row],[Custo]]</f>
        <v>8.8787411938317951E-3</v>
      </c>
      <c r="AH4" s="1">
        <f>(tbRHI[[#This Row],[Custo]]/SUM(tbRHI[Custo]))*SUMIFS(tbEquipe[Custo],tbEquipe[Mês],AH$1)*Configuração!$D$10</f>
        <v>0</v>
      </c>
      <c r="AI4" s="2">
        <f>tbRHI[[#This Row],[16]]/tbRHI[[#This Row],[Custo]]</f>
        <v>0</v>
      </c>
      <c r="AJ4" s="1">
        <f>(tbRHI[[#This Row],[Custo]]/SUM(tbRHI[Custo]))*SUMIFS(tbEquipe[Custo],tbEquipe[Mês],AJ$1)*Configuração!$D$10</f>
        <v>0</v>
      </c>
      <c r="AK4" s="2">
        <f>tbRHI[[#This Row],[17]]/tbRHI[[#This Row],[Custo]]</f>
        <v>0</v>
      </c>
      <c r="AL4" s="1">
        <f>(tbRHI[[#This Row],[Custo]]/SUM(tbRHI[Custo]))*SUMIFS(tbEquipe[Custo],tbEquipe[Mês],AL$1)*Configuração!$D$10</f>
        <v>0</v>
      </c>
      <c r="AM4" s="2">
        <f>tbRHI[[#This Row],[18]]/tbRHI[[#This Row],[Custo]]</f>
        <v>0</v>
      </c>
      <c r="AN4" s="1">
        <f>(tbRHI[[#This Row],[Custo]]/SUM(tbRHI[Custo]))*SUMIFS(tbEquipe[Custo],tbEquipe[Mês],AN$1)*Configuração!$D$10</f>
        <v>0</v>
      </c>
      <c r="AO4" s="2">
        <f>tbRHI[[#This Row],[19]]/tbRHI[[#This Row],[Custo]]</f>
        <v>0</v>
      </c>
      <c r="AP4" s="1">
        <f>(tbRHI[[#This Row],[Custo]]/SUM(tbRHI[Custo]))*SUMIFS(tbEquipe[Custo],tbEquipe[Mês],AP$1)*Configuração!$D$10</f>
        <v>0</v>
      </c>
      <c r="AQ4" s="2">
        <f>tbRHI[[#This Row],[20]]/tbRHI[[#This Row],[Custo]]</f>
        <v>0</v>
      </c>
      <c r="AR4" s="1">
        <f>(tbRHI[[#This Row],[Custo]]/SUM(tbRHI[Custo]))*SUMIFS(tbEquipe[Custo],tbEquipe[Mês],AR$1)*Configuração!$D$10</f>
        <v>0</v>
      </c>
      <c r="AS4" s="2">
        <f>tbRHI[[#This Row],[21]]/tbRHI[[#This Row],[Custo]]</f>
        <v>0</v>
      </c>
      <c r="AT4" s="1">
        <f>(tbRHI[[#This Row],[Custo]]/SUM(tbRHI[Custo]))*SUMIFS(tbEquipe[Custo],tbEquipe[Mês],AT$1)*Configuração!$D$10</f>
        <v>0</v>
      </c>
      <c r="AU4" s="2">
        <f>tbRHI[[#This Row],[22]]/tbRHI[[#This Row],[Custo]]</f>
        <v>0</v>
      </c>
      <c r="AV4" s="1">
        <f>(tbRHI[[#This Row],[Custo]]/SUM(tbRHI[Custo]))*SUMIFS(tbEquipe[Custo],tbEquipe[Mês],AV$1)*Configuração!$D$10</f>
        <v>0</v>
      </c>
      <c r="AW4" s="34">
        <f>tbRHI[[#This Row],[23]]/tbRHI[[#This Row],[Custo]]</f>
        <v>0</v>
      </c>
    </row>
    <row r="5" spans="1:51" x14ac:dyDescent="0.25">
      <c r="A5" s="38" t="s">
        <v>341</v>
      </c>
      <c r="B5" s="59" t="str">
        <f>_xlfn.XLOOKUP($A5,DBFolha!$A:$A,DBFolha!$B:$B)</f>
        <v>COORDENADOR(A) DE COMPRAS PL</v>
      </c>
      <c r="C5" s="37">
        <f>_xlfn.XLOOKUP($A5,DBFolha!$A:$A,DBFolha!$C:$C)</f>
        <v>19603.798044444444</v>
      </c>
      <c r="D5" s="1">
        <f>(tbRHI[[#This Row],[Custo]]/SUM(tbRHI[Custo]))*SUMIFS(tbEquipe[Custo],tbEquipe[Mês],D$1)*Configuração!$D$10</f>
        <v>2030.6522491785272</v>
      </c>
      <c r="E5" s="26">
        <f>tbRHI[[#This Row],[1]]/tbRHI[[#This Row],[Custo]]</f>
        <v>0.10358463419051582</v>
      </c>
      <c r="F5" s="1">
        <f>(tbRHI[[#This Row],[Custo]]/SUM(tbRHI[Custo]))*SUMIFS(tbEquipe[Custo],tbEquipe[Mês],F$1)*Configuração!$D$10</f>
        <v>2101.6878457954258</v>
      </c>
      <c r="G5" s="26">
        <f>tbRHI[[#This Row],[2]]/tbRHI[[#This Row],[Custo]]</f>
        <v>0.10720819715805158</v>
      </c>
      <c r="H5" s="1">
        <f>(tbRHI[[#This Row],[Custo]]/SUM(tbRHI[Custo]))*SUMIFS(tbEquipe[Custo],tbEquipe[Mês],H$1)*Configuração!$D$10</f>
        <v>2101.6878457954258</v>
      </c>
      <c r="I5" s="2">
        <f>tbRHI[[#This Row],[3]]/tbRHI[[#This Row],[Custo]]</f>
        <v>0.10720819715805158</v>
      </c>
      <c r="J5" s="1">
        <f>(tbRHI[[#This Row],[Custo]]/SUM(tbRHI[Custo]))*SUMIFS(tbEquipe[Custo],tbEquipe[Mês],J$1)*Configuração!$D$10</f>
        <v>2101.6878457954258</v>
      </c>
      <c r="K5" s="2">
        <f>tbRHI[[#This Row],[4]]/tbRHI[[#This Row],[Custo]]</f>
        <v>0.10720819715805158</v>
      </c>
      <c r="L5" s="1">
        <f>(tbRHI[[#This Row],[Custo]]/SUM(tbRHI[Custo]))*SUMIFS(tbEquipe[Custo],tbEquipe[Mês],L$1)*Configuração!$D$10</f>
        <v>2101.6878457954258</v>
      </c>
      <c r="M5" s="2">
        <f>tbRHI[[#This Row],[5]]/tbRHI[[#This Row],[Custo]]</f>
        <v>0.10720819715805158</v>
      </c>
      <c r="N5" s="1">
        <f>(tbRHI[[#This Row],[Custo]]/SUM(tbRHI[Custo]))*SUMIFS(tbEquipe[Custo],tbEquipe[Mês],N$1)*Configuração!$D$10</f>
        <v>2101.6878457954258</v>
      </c>
      <c r="O5" s="2">
        <f>tbRHI[[#This Row],[6]]/tbRHI[[#This Row],[Custo]]</f>
        <v>0.10720819715805158</v>
      </c>
      <c r="P5" s="1">
        <f>(tbRHI[[#This Row],[Custo]]/SUM(tbRHI[Custo]))*SUMIFS(tbEquipe[Custo],tbEquipe[Mês],P$1)*Configuração!$D$10</f>
        <v>2101.6878457954258</v>
      </c>
      <c r="Q5" s="2">
        <f>tbRHI[[#This Row],[7]]/tbRHI[[#This Row],[Custo]]</f>
        <v>0.10720819715805158</v>
      </c>
      <c r="R5" s="1">
        <f>(tbRHI[[#This Row],[Custo]]/SUM(tbRHI[Custo]))*SUMIFS(tbEquipe[Custo],tbEquipe[Mês],R$1)*Configuração!$D$10</f>
        <v>2101.6878457954258</v>
      </c>
      <c r="S5" s="2">
        <f>tbRHI[[#This Row],[8]]/tbRHI[[#This Row],[Custo]]</f>
        <v>0.10720819715805158</v>
      </c>
      <c r="T5" s="1">
        <f>(tbRHI[[#This Row],[Custo]]/SUM(tbRHI[Custo]))*SUMIFS(tbEquipe[Custo],tbEquipe[Mês],T$1)*Configuração!$D$10</f>
        <v>2101.6878457954258</v>
      </c>
      <c r="U5" s="2">
        <f>tbRHI[[#This Row],[9]]/tbRHI[[#This Row],[Custo]]</f>
        <v>0.10720819715805158</v>
      </c>
      <c r="V5" s="1">
        <f>(tbRHI[[#This Row],[Custo]]/SUM(tbRHI[Custo]))*SUMIFS(tbEquipe[Custo],tbEquipe[Mês],V$1)*Configuração!$D$10</f>
        <v>2101.6878457954258</v>
      </c>
      <c r="W5" s="2">
        <f>tbRHI[[#This Row],[10]]/tbRHI[[#This Row],[Custo]]</f>
        <v>0.10720819715805158</v>
      </c>
      <c r="X5" s="1">
        <f>(tbRHI[[#This Row],[Custo]]/SUM(tbRHI[Custo]))*SUMIFS(tbEquipe[Custo],tbEquipe[Mês],X$1)*Configuração!$D$10</f>
        <v>2101.6878457954258</v>
      </c>
      <c r="Y5" s="2">
        <f>tbRHI[[#This Row],[11]]/tbRHI[[#This Row],[Custo]]</f>
        <v>0.10720819715805158</v>
      </c>
      <c r="Z5" s="1">
        <f>(tbRHI[[#This Row],[Custo]]/SUM(tbRHI[Custo]))*SUMIFS(tbEquipe[Custo],tbEquipe[Mês],Z$1)*Configuração!$D$10</f>
        <v>2101.6878457954258</v>
      </c>
      <c r="AA5" s="2">
        <f>tbRHI[[#This Row],[12]]/tbRHI[[#This Row],[Custo]]</f>
        <v>0.10720819715805158</v>
      </c>
      <c r="AB5" s="1">
        <f>(tbRHI[[#This Row],[Custo]]/SUM(tbRHI[Custo]))*SUMIFS(tbEquipe[Custo],tbEquipe[Mês],AB$1)*Configuração!$D$10</f>
        <v>164.2047634460076</v>
      </c>
      <c r="AC5" s="2">
        <f>tbRHI[[#This Row],[13]]/tbRHI[[#This Row],[Custo]]</f>
        <v>8.376170937577164E-3</v>
      </c>
      <c r="AD5" s="1">
        <f>(tbRHI[[#This Row],[Custo]]/SUM(tbRHI[Custo]))*SUMIFS(tbEquipe[Custo],tbEquipe[Mês],AD$1)*Configuração!$D$10</f>
        <v>174.05704925276805</v>
      </c>
      <c r="AE5" s="2">
        <f>tbRHI[[#This Row],[14]]/tbRHI[[#This Row],[Custo]]</f>
        <v>8.8787411938317934E-3</v>
      </c>
      <c r="AF5" s="1">
        <f>(tbRHI[[#This Row],[Custo]]/SUM(tbRHI[Custo]))*SUMIFS(tbEquipe[Custo],tbEquipe[Mês],AF$1)*Configuração!$D$10</f>
        <v>174.05704925276805</v>
      </c>
      <c r="AG5" s="2">
        <f>tbRHI[[#This Row],[15]]/tbRHI[[#This Row],[Custo]]</f>
        <v>8.8787411938317934E-3</v>
      </c>
      <c r="AH5" s="1">
        <f>(tbRHI[[#This Row],[Custo]]/SUM(tbRHI[Custo]))*SUMIFS(tbEquipe[Custo],tbEquipe[Mês],AH$1)*Configuração!$D$10</f>
        <v>0</v>
      </c>
      <c r="AI5" s="2">
        <f>tbRHI[[#This Row],[16]]/tbRHI[[#This Row],[Custo]]</f>
        <v>0</v>
      </c>
      <c r="AJ5" s="1">
        <f>(tbRHI[[#This Row],[Custo]]/SUM(tbRHI[Custo]))*SUMIFS(tbEquipe[Custo],tbEquipe[Mês],AJ$1)*Configuração!$D$10</f>
        <v>0</v>
      </c>
      <c r="AK5" s="2">
        <f>tbRHI[[#This Row],[17]]/tbRHI[[#This Row],[Custo]]</f>
        <v>0</v>
      </c>
      <c r="AL5" s="1">
        <f>(tbRHI[[#This Row],[Custo]]/SUM(tbRHI[Custo]))*SUMIFS(tbEquipe[Custo],tbEquipe[Mês],AL$1)*Configuração!$D$10</f>
        <v>0</v>
      </c>
      <c r="AM5" s="2">
        <f>tbRHI[[#This Row],[18]]/tbRHI[[#This Row],[Custo]]</f>
        <v>0</v>
      </c>
      <c r="AN5" s="1">
        <f>(tbRHI[[#This Row],[Custo]]/SUM(tbRHI[Custo]))*SUMIFS(tbEquipe[Custo],tbEquipe[Mês],AN$1)*Configuração!$D$10</f>
        <v>0</v>
      </c>
      <c r="AO5" s="2">
        <f>tbRHI[[#This Row],[19]]/tbRHI[[#This Row],[Custo]]</f>
        <v>0</v>
      </c>
      <c r="AP5" s="1">
        <f>(tbRHI[[#This Row],[Custo]]/SUM(tbRHI[Custo]))*SUMIFS(tbEquipe[Custo],tbEquipe[Mês],AP$1)*Configuração!$D$10</f>
        <v>0</v>
      </c>
      <c r="AQ5" s="2">
        <f>tbRHI[[#This Row],[20]]/tbRHI[[#This Row],[Custo]]</f>
        <v>0</v>
      </c>
      <c r="AR5" s="1">
        <f>(tbRHI[[#This Row],[Custo]]/SUM(tbRHI[Custo]))*SUMIFS(tbEquipe[Custo],tbEquipe[Mês],AR$1)*Configuração!$D$10</f>
        <v>0</v>
      </c>
      <c r="AS5" s="2">
        <f>tbRHI[[#This Row],[21]]/tbRHI[[#This Row],[Custo]]</f>
        <v>0</v>
      </c>
      <c r="AT5" s="1">
        <f>(tbRHI[[#This Row],[Custo]]/SUM(tbRHI[Custo]))*SUMIFS(tbEquipe[Custo],tbEquipe[Mês],AT$1)*Configuração!$D$10</f>
        <v>0</v>
      </c>
      <c r="AU5" s="2">
        <f>tbRHI[[#This Row],[22]]/tbRHI[[#This Row],[Custo]]</f>
        <v>0</v>
      </c>
      <c r="AV5" s="1">
        <f>(tbRHI[[#This Row],[Custo]]/SUM(tbRHI[Custo]))*SUMIFS(tbEquipe[Custo],tbEquipe[Mês],AV$1)*Configuração!$D$10</f>
        <v>0</v>
      </c>
      <c r="AW5" s="34">
        <f>tbRHI[[#This Row],[23]]/tbRHI[[#This Row],[Custo]]</f>
        <v>0</v>
      </c>
    </row>
    <row r="6" spans="1:51" x14ac:dyDescent="0.25">
      <c r="A6" s="38" t="s">
        <v>269</v>
      </c>
      <c r="B6" s="59" t="str">
        <f>_xlfn.XLOOKUP($A6,DBFolha!$A:$A,DBFolha!$B:$B)</f>
        <v>ANALISTA DE SISTEMAS SR</v>
      </c>
      <c r="C6" s="37">
        <f>_xlfn.XLOOKUP($A6,DBFolha!$A:$A,DBFolha!$C:$C)</f>
        <v>21083.105139022227</v>
      </c>
      <c r="D6" s="1">
        <f>(tbRHI[[#This Row],[Custo]]/SUM(tbRHI[Custo]))*SUMIFS(tbEquipe[Custo],tbEquipe[Mês],D$1)*Configuração!$D$10</f>
        <v>2183.8857334258023</v>
      </c>
      <c r="E6" s="26">
        <f>tbRHI[[#This Row],[1]]/tbRHI[[#This Row],[Custo]]</f>
        <v>0.10358463419051585</v>
      </c>
      <c r="F6" s="1">
        <f>(tbRHI[[#This Row],[Custo]]/SUM(tbRHI[Custo]))*SUMIFS(tbEquipe[Custo],tbEquipe[Mês],F$1)*Configuração!$D$10</f>
        <v>2260.2816924482249</v>
      </c>
      <c r="G6" s="26">
        <f>tbRHI[[#This Row],[2]]/tbRHI[[#This Row],[Custo]]</f>
        <v>0.10720819715805156</v>
      </c>
      <c r="H6" s="1">
        <f>(tbRHI[[#This Row],[Custo]]/SUM(tbRHI[Custo]))*SUMIFS(tbEquipe[Custo],tbEquipe[Mês],H$1)*Configuração!$D$10</f>
        <v>2260.2816924482249</v>
      </c>
      <c r="I6" s="2">
        <f>tbRHI[[#This Row],[3]]/tbRHI[[#This Row],[Custo]]</f>
        <v>0.10720819715805156</v>
      </c>
      <c r="J6" s="1">
        <f>(tbRHI[[#This Row],[Custo]]/SUM(tbRHI[Custo]))*SUMIFS(tbEquipe[Custo],tbEquipe[Mês],J$1)*Configuração!$D$10</f>
        <v>2260.2816924482249</v>
      </c>
      <c r="K6" s="2">
        <f>tbRHI[[#This Row],[4]]/tbRHI[[#This Row],[Custo]]</f>
        <v>0.10720819715805156</v>
      </c>
      <c r="L6" s="1">
        <f>(tbRHI[[#This Row],[Custo]]/SUM(tbRHI[Custo]))*SUMIFS(tbEquipe[Custo],tbEquipe[Mês],L$1)*Configuração!$D$10</f>
        <v>2260.2816924482249</v>
      </c>
      <c r="M6" s="2">
        <f>tbRHI[[#This Row],[5]]/tbRHI[[#This Row],[Custo]]</f>
        <v>0.10720819715805156</v>
      </c>
      <c r="N6" s="1">
        <f>(tbRHI[[#This Row],[Custo]]/SUM(tbRHI[Custo]))*SUMIFS(tbEquipe[Custo],tbEquipe[Mês],N$1)*Configuração!$D$10</f>
        <v>2260.2816924482249</v>
      </c>
      <c r="O6" s="2">
        <f>tbRHI[[#This Row],[6]]/tbRHI[[#This Row],[Custo]]</f>
        <v>0.10720819715805156</v>
      </c>
      <c r="P6" s="1">
        <f>(tbRHI[[#This Row],[Custo]]/SUM(tbRHI[Custo]))*SUMIFS(tbEquipe[Custo],tbEquipe[Mês],P$1)*Configuração!$D$10</f>
        <v>2260.2816924482249</v>
      </c>
      <c r="Q6" s="2">
        <f>tbRHI[[#This Row],[7]]/tbRHI[[#This Row],[Custo]]</f>
        <v>0.10720819715805156</v>
      </c>
      <c r="R6" s="1">
        <f>(tbRHI[[#This Row],[Custo]]/SUM(tbRHI[Custo]))*SUMIFS(tbEquipe[Custo],tbEquipe[Mês],R$1)*Configuração!$D$10</f>
        <v>2260.2816924482249</v>
      </c>
      <c r="S6" s="2">
        <f>tbRHI[[#This Row],[8]]/tbRHI[[#This Row],[Custo]]</f>
        <v>0.10720819715805156</v>
      </c>
      <c r="T6" s="1">
        <f>(tbRHI[[#This Row],[Custo]]/SUM(tbRHI[Custo]))*SUMIFS(tbEquipe[Custo],tbEquipe[Mês],T$1)*Configuração!$D$10</f>
        <v>2260.2816924482249</v>
      </c>
      <c r="U6" s="2">
        <f>tbRHI[[#This Row],[9]]/tbRHI[[#This Row],[Custo]]</f>
        <v>0.10720819715805156</v>
      </c>
      <c r="V6" s="1">
        <f>(tbRHI[[#This Row],[Custo]]/SUM(tbRHI[Custo]))*SUMIFS(tbEquipe[Custo],tbEquipe[Mês],V$1)*Configuração!$D$10</f>
        <v>2260.2816924482249</v>
      </c>
      <c r="W6" s="2">
        <f>tbRHI[[#This Row],[10]]/tbRHI[[#This Row],[Custo]]</f>
        <v>0.10720819715805156</v>
      </c>
      <c r="X6" s="1">
        <f>(tbRHI[[#This Row],[Custo]]/SUM(tbRHI[Custo]))*SUMIFS(tbEquipe[Custo],tbEquipe[Mês],X$1)*Configuração!$D$10</f>
        <v>2260.2816924482249</v>
      </c>
      <c r="Y6" s="2">
        <f>tbRHI[[#This Row],[11]]/tbRHI[[#This Row],[Custo]]</f>
        <v>0.10720819715805156</v>
      </c>
      <c r="Z6" s="1">
        <f>(tbRHI[[#This Row],[Custo]]/SUM(tbRHI[Custo]))*SUMIFS(tbEquipe[Custo],tbEquipe[Mês],Z$1)*Configuração!$D$10</f>
        <v>2260.2816924482249</v>
      </c>
      <c r="AA6" s="2">
        <f>tbRHI[[#This Row],[12]]/tbRHI[[#This Row],[Custo]]</f>
        <v>0.10720819715805156</v>
      </c>
      <c r="AB6" s="1">
        <f>(tbRHI[[#This Row],[Custo]]/SUM(tbRHI[Custo]))*SUMIFS(tbEquipe[Custo],tbEquipe[Mês],AB$1)*Configuração!$D$10</f>
        <v>176.59569253936172</v>
      </c>
      <c r="AC6" s="2">
        <f>tbRHI[[#This Row],[13]]/tbRHI[[#This Row],[Custo]]</f>
        <v>8.376170937577164E-3</v>
      </c>
      <c r="AD6" s="1">
        <f>(tbRHI[[#This Row],[Custo]]/SUM(tbRHI[Custo]))*SUMIFS(tbEquipe[Custo],tbEquipe[Mês],AD$1)*Configuração!$D$10</f>
        <v>187.19143409172344</v>
      </c>
      <c r="AE6" s="2">
        <f>tbRHI[[#This Row],[14]]/tbRHI[[#This Row],[Custo]]</f>
        <v>8.8787411938317934E-3</v>
      </c>
      <c r="AF6" s="1">
        <f>(tbRHI[[#This Row],[Custo]]/SUM(tbRHI[Custo]))*SUMIFS(tbEquipe[Custo],tbEquipe[Mês],AF$1)*Configuração!$D$10</f>
        <v>187.19143409172344</v>
      </c>
      <c r="AG6" s="2">
        <f>tbRHI[[#This Row],[15]]/tbRHI[[#This Row],[Custo]]</f>
        <v>8.8787411938317934E-3</v>
      </c>
      <c r="AH6" s="1">
        <f>(tbRHI[[#This Row],[Custo]]/SUM(tbRHI[Custo]))*SUMIFS(tbEquipe[Custo],tbEquipe[Mês],AH$1)*Configuração!$D$10</f>
        <v>0</v>
      </c>
      <c r="AI6" s="2">
        <f>tbRHI[[#This Row],[16]]/tbRHI[[#This Row],[Custo]]</f>
        <v>0</v>
      </c>
      <c r="AJ6" s="1">
        <f>(tbRHI[[#This Row],[Custo]]/SUM(tbRHI[Custo]))*SUMIFS(tbEquipe[Custo],tbEquipe[Mês],AJ$1)*Configuração!$D$10</f>
        <v>0</v>
      </c>
      <c r="AK6" s="2">
        <f>tbRHI[[#This Row],[17]]/tbRHI[[#This Row],[Custo]]</f>
        <v>0</v>
      </c>
      <c r="AL6" s="1">
        <f>(tbRHI[[#This Row],[Custo]]/SUM(tbRHI[Custo]))*SUMIFS(tbEquipe[Custo],tbEquipe[Mês],AL$1)*Configuração!$D$10</f>
        <v>0</v>
      </c>
      <c r="AM6" s="2">
        <f>tbRHI[[#This Row],[18]]/tbRHI[[#This Row],[Custo]]</f>
        <v>0</v>
      </c>
      <c r="AN6" s="1">
        <f>(tbRHI[[#This Row],[Custo]]/SUM(tbRHI[Custo]))*SUMIFS(tbEquipe[Custo],tbEquipe[Mês],AN$1)*Configuração!$D$10</f>
        <v>0</v>
      </c>
      <c r="AO6" s="2">
        <f>tbRHI[[#This Row],[19]]/tbRHI[[#This Row],[Custo]]</f>
        <v>0</v>
      </c>
      <c r="AP6" s="1">
        <f>(tbRHI[[#This Row],[Custo]]/SUM(tbRHI[Custo]))*SUMIFS(tbEquipe[Custo],tbEquipe[Mês],AP$1)*Configuração!$D$10</f>
        <v>0</v>
      </c>
      <c r="AQ6" s="2">
        <f>tbRHI[[#This Row],[20]]/tbRHI[[#This Row],[Custo]]</f>
        <v>0</v>
      </c>
      <c r="AR6" s="1">
        <f>(tbRHI[[#This Row],[Custo]]/SUM(tbRHI[Custo]))*SUMIFS(tbEquipe[Custo],tbEquipe[Mês],AR$1)*Configuração!$D$10</f>
        <v>0</v>
      </c>
      <c r="AS6" s="2">
        <f>tbRHI[[#This Row],[21]]/tbRHI[[#This Row],[Custo]]</f>
        <v>0</v>
      </c>
      <c r="AT6" s="1">
        <f>(tbRHI[[#This Row],[Custo]]/SUM(tbRHI[Custo]))*SUMIFS(tbEquipe[Custo],tbEquipe[Mês],AT$1)*Configuração!$D$10</f>
        <v>0</v>
      </c>
      <c r="AU6" s="2">
        <f>tbRHI[[#This Row],[22]]/tbRHI[[#This Row],[Custo]]</f>
        <v>0</v>
      </c>
      <c r="AV6" s="1">
        <f>(tbRHI[[#This Row],[Custo]]/SUM(tbRHI[Custo]))*SUMIFS(tbEquipe[Custo],tbEquipe[Mês],AV$1)*Configuração!$D$10</f>
        <v>0</v>
      </c>
      <c r="AW6" s="34">
        <f>tbRHI[[#This Row],[23]]/tbRHI[[#This Row],[Custo]]</f>
        <v>0</v>
      </c>
    </row>
    <row r="7" spans="1:51" x14ac:dyDescent="0.25">
      <c r="A7" s="38" t="s">
        <v>427</v>
      </c>
      <c r="B7" s="59" t="str">
        <f>_xlfn.XLOOKUP($A7,DBFolha!$A:$A,DBFolha!$B:$B)</f>
        <v xml:space="preserve">COORDENADOR(A) DE CONTROLADORIA </v>
      </c>
      <c r="C7" s="37">
        <f>_xlfn.XLOOKUP($A7,DBFolha!$A:$A,DBFolha!$C:$C)</f>
        <v>23450.800266666665</v>
      </c>
      <c r="D7" s="1">
        <f>(tbRHI[[#This Row],[Custo]]/SUM(tbRHI[Custo]))*SUMIFS(tbEquipe[Custo],tbEquipe[Mês],D$1)*Configuração!$D$10</f>
        <v>2429.1425670975182</v>
      </c>
      <c r="E7" s="26">
        <f>tbRHI[[#This Row],[1]]/tbRHI[[#This Row],[Custo]]</f>
        <v>0.10358463419051585</v>
      </c>
      <c r="F7" s="1">
        <f>(tbRHI[[#This Row],[Custo]]/SUM(tbRHI[Custo]))*SUMIFS(tbEquipe[Custo],tbEquipe[Mês],F$1)*Configuração!$D$10</f>
        <v>2514.1180185028879</v>
      </c>
      <c r="G7" s="26">
        <f>tbRHI[[#This Row],[2]]/tbRHI[[#This Row],[Custo]]</f>
        <v>0.10720819715805156</v>
      </c>
      <c r="H7" s="1">
        <f>(tbRHI[[#This Row],[Custo]]/SUM(tbRHI[Custo]))*SUMIFS(tbEquipe[Custo],tbEquipe[Mês],H$1)*Configuração!$D$10</f>
        <v>2514.1180185028879</v>
      </c>
      <c r="I7" s="2">
        <f>tbRHI[[#This Row],[3]]/tbRHI[[#This Row],[Custo]]</f>
        <v>0.10720819715805156</v>
      </c>
      <c r="J7" s="1">
        <f>(tbRHI[[#This Row],[Custo]]/SUM(tbRHI[Custo]))*SUMIFS(tbEquipe[Custo],tbEquipe[Mês],J$1)*Configuração!$D$10</f>
        <v>2514.1180185028879</v>
      </c>
      <c r="K7" s="2">
        <f>tbRHI[[#This Row],[4]]/tbRHI[[#This Row],[Custo]]</f>
        <v>0.10720819715805156</v>
      </c>
      <c r="L7" s="1">
        <f>(tbRHI[[#This Row],[Custo]]/SUM(tbRHI[Custo]))*SUMIFS(tbEquipe[Custo],tbEquipe[Mês],L$1)*Configuração!$D$10</f>
        <v>2514.1180185028879</v>
      </c>
      <c r="M7" s="2">
        <f>tbRHI[[#This Row],[5]]/tbRHI[[#This Row],[Custo]]</f>
        <v>0.10720819715805156</v>
      </c>
      <c r="N7" s="1">
        <f>(tbRHI[[#This Row],[Custo]]/SUM(tbRHI[Custo]))*SUMIFS(tbEquipe[Custo],tbEquipe[Mês],N$1)*Configuração!$D$10</f>
        <v>2514.1180185028879</v>
      </c>
      <c r="O7" s="2">
        <f>tbRHI[[#This Row],[6]]/tbRHI[[#This Row],[Custo]]</f>
        <v>0.10720819715805156</v>
      </c>
      <c r="P7" s="1">
        <f>(tbRHI[[#This Row],[Custo]]/SUM(tbRHI[Custo]))*SUMIFS(tbEquipe[Custo],tbEquipe[Mês],P$1)*Configuração!$D$10</f>
        <v>2514.1180185028879</v>
      </c>
      <c r="Q7" s="2">
        <f>tbRHI[[#This Row],[7]]/tbRHI[[#This Row],[Custo]]</f>
        <v>0.10720819715805156</v>
      </c>
      <c r="R7" s="1">
        <f>(tbRHI[[#This Row],[Custo]]/SUM(tbRHI[Custo]))*SUMIFS(tbEquipe[Custo],tbEquipe[Mês],R$1)*Configuração!$D$10</f>
        <v>2514.1180185028879</v>
      </c>
      <c r="S7" s="2">
        <f>tbRHI[[#This Row],[8]]/tbRHI[[#This Row],[Custo]]</f>
        <v>0.10720819715805156</v>
      </c>
      <c r="T7" s="1">
        <f>(tbRHI[[#This Row],[Custo]]/SUM(tbRHI[Custo]))*SUMIFS(tbEquipe[Custo],tbEquipe[Mês],T$1)*Configuração!$D$10</f>
        <v>2514.1180185028879</v>
      </c>
      <c r="U7" s="2">
        <f>tbRHI[[#This Row],[9]]/tbRHI[[#This Row],[Custo]]</f>
        <v>0.10720819715805156</v>
      </c>
      <c r="V7" s="1">
        <f>(tbRHI[[#This Row],[Custo]]/SUM(tbRHI[Custo]))*SUMIFS(tbEquipe[Custo],tbEquipe[Mês],V$1)*Configuração!$D$10</f>
        <v>2514.1180185028879</v>
      </c>
      <c r="W7" s="2">
        <f>tbRHI[[#This Row],[10]]/tbRHI[[#This Row],[Custo]]</f>
        <v>0.10720819715805156</v>
      </c>
      <c r="X7" s="1">
        <f>(tbRHI[[#This Row],[Custo]]/SUM(tbRHI[Custo]))*SUMIFS(tbEquipe[Custo],tbEquipe[Mês],X$1)*Configuração!$D$10</f>
        <v>2514.1180185028879</v>
      </c>
      <c r="Y7" s="2">
        <f>tbRHI[[#This Row],[11]]/tbRHI[[#This Row],[Custo]]</f>
        <v>0.10720819715805156</v>
      </c>
      <c r="Z7" s="1">
        <f>(tbRHI[[#This Row],[Custo]]/SUM(tbRHI[Custo]))*SUMIFS(tbEquipe[Custo],tbEquipe[Mês],Z$1)*Configuração!$D$10</f>
        <v>2514.1180185028879</v>
      </c>
      <c r="AA7" s="2">
        <f>tbRHI[[#This Row],[12]]/tbRHI[[#This Row],[Custo]]</f>
        <v>0.10720819715805156</v>
      </c>
      <c r="AB7" s="1">
        <f>(tbRHI[[#This Row],[Custo]]/SUM(tbRHI[Custo]))*SUMIFS(tbEquipe[Custo],tbEquipe[Mês],AB$1)*Configuração!$D$10</f>
        <v>196.42791165658014</v>
      </c>
      <c r="AC7" s="2">
        <f>tbRHI[[#This Row],[13]]/tbRHI[[#This Row],[Custo]]</f>
        <v>8.376170937577164E-3</v>
      </c>
      <c r="AD7" s="1">
        <f>(tbRHI[[#This Row],[Custo]]/SUM(tbRHI[Custo]))*SUMIFS(tbEquipe[Custo],tbEquipe[Mês],AD$1)*Configuração!$D$10</f>
        <v>208.21358635597494</v>
      </c>
      <c r="AE7" s="2">
        <f>tbRHI[[#This Row],[14]]/tbRHI[[#This Row],[Custo]]</f>
        <v>8.8787411938317934E-3</v>
      </c>
      <c r="AF7" s="1">
        <f>(tbRHI[[#This Row],[Custo]]/SUM(tbRHI[Custo]))*SUMIFS(tbEquipe[Custo],tbEquipe[Mês],AF$1)*Configuração!$D$10</f>
        <v>208.21358635597494</v>
      </c>
      <c r="AG7" s="2">
        <f>tbRHI[[#This Row],[15]]/tbRHI[[#This Row],[Custo]]</f>
        <v>8.8787411938317934E-3</v>
      </c>
      <c r="AH7" s="1">
        <f>(tbRHI[[#This Row],[Custo]]/SUM(tbRHI[Custo]))*SUMIFS(tbEquipe[Custo],tbEquipe[Mês],AH$1)*Configuração!$D$10</f>
        <v>0</v>
      </c>
      <c r="AI7" s="2">
        <f>tbRHI[[#This Row],[16]]/tbRHI[[#This Row],[Custo]]</f>
        <v>0</v>
      </c>
      <c r="AJ7" s="1">
        <f>(tbRHI[[#This Row],[Custo]]/SUM(tbRHI[Custo]))*SUMIFS(tbEquipe[Custo],tbEquipe[Mês],AJ$1)*Configuração!$D$10</f>
        <v>0</v>
      </c>
      <c r="AK7" s="2">
        <f>tbRHI[[#This Row],[17]]/tbRHI[[#This Row],[Custo]]</f>
        <v>0</v>
      </c>
      <c r="AL7" s="1">
        <f>(tbRHI[[#This Row],[Custo]]/SUM(tbRHI[Custo]))*SUMIFS(tbEquipe[Custo],tbEquipe[Mês],AL$1)*Configuração!$D$10</f>
        <v>0</v>
      </c>
      <c r="AM7" s="2">
        <f>tbRHI[[#This Row],[18]]/tbRHI[[#This Row],[Custo]]</f>
        <v>0</v>
      </c>
      <c r="AN7" s="1">
        <f>(tbRHI[[#This Row],[Custo]]/SUM(tbRHI[Custo]))*SUMIFS(tbEquipe[Custo],tbEquipe[Mês],AN$1)*Configuração!$D$10</f>
        <v>0</v>
      </c>
      <c r="AO7" s="2">
        <f>tbRHI[[#This Row],[19]]/tbRHI[[#This Row],[Custo]]</f>
        <v>0</v>
      </c>
      <c r="AP7" s="1">
        <f>(tbRHI[[#This Row],[Custo]]/SUM(tbRHI[Custo]))*SUMIFS(tbEquipe[Custo],tbEquipe[Mês],AP$1)*Configuração!$D$10</f>
        <v>0</v>
      </c>
      <c r="AQ7" s="2">
        <f>tbRHI[[#This Row],[20]]/tbRHI[[#This Row],[Custo]]</f>
        <v>0</v>
      </c>
      <c r="AR7" s="1">
        <f>(tbRHI[[#This Row],[Custo]]/SUM(tbRHI[Custo]))*SUMIFS(tbEquipe[Custo],tbEquipe[Mês],AR$1)*Configuração!$D$10</f>
        <v>0</v>
      </c>
      <c r="AS7" s="2">
        <f>tbRHI[[#This Row],[21]]/tbRHI[[#This Row],[Custo]]</f>
        <v>0</v>
      </c>
      <c r="AT7" s="1">
        <f>(tbRHI[[#This Row],[Custo]]/SUM(tbRHI[Custo]))*SUMIFS(tbEquipe[Custo],tbEquipe[Mês],AT$1)*Configuração!$D$10</f>
        <v>0</v>
      </c>
      <c r="AU7" s="2">
        <f>tbRHI[[#This Row],[22]]/tbRHI[[#This Row],[Custo]]</f>
        <v>0</v>
      </c>
      <c r="AV7" s="1">
        <f>(tbRHI[[#This Row],[Custo]]/SUM(tbRHI[Custo]))*SUMIFS(tbEquipe[Custo],tbEquipe[Mês],AV$1)*Configuração!$D$10</f>
        <v>0</v>
      </c>
      <c r="AW7" s="34">
        <f>tbRHI[[#This Row],[23]]/tbRHI[[#This Row],[Custo]]</f>
        <v>0</v>
      </c>
    </row>
    <row r="8" spans="1:51" x14ac:dyDescent="0.25">
      <c r="A8" s="38"/>
      <c r="B8" s="60">
        <f>SUBTOTAL(103,tbRHI[Cargo])</f>
        <v>6</v>
      </c>
      <c r="C8" s="39">
        <f>SUBTOTAL(109,tbRHI[Custo])</f>
        <v>129535.48630791483</v>
      </c>
      <c r="D8" s="39">
        <f>SUBTOTAL(109,tbRHI[1])</f>
        <v>13417.885963895935</v>
      </c>
      <c r="E8" s="65">
        <f>SUBTOTAL(109,tbRHI[%Aloc1])</f>
        <v>0.62150780514309512</v>
      </c>
      <c r="F8" s="39">
        <f>SUBTOTAL(109,tbRHI[2])</f>
        <v>13887.265955063023</v>
      </c>
      <c r="G8" s="65">
        <f>SUBTOTAL(109,tbRHI[%Aloc2])</f>
        <v>0.64324918294830935</v>
      </c>
      <c r="H8" s="39">
        <f>SUBTOTAL(109,tbRHI[3])</f>
        <v>13887.265955063023</v>
      </c>
      <c r="I8" s="65">
        <f>SUBTOTAL(109,tbRHI[%Aloc3])</f>
        <v>0.64324918294830935</v>
      </c>
      <c r="J8" s="39">
        <f>SUBTOTAL(109,tbRHI[4])</f>
        <v>13887.265955063023</v>
      </c>
      <c r="K8" s="65">
        <f>SUBTOTAL(109,tbRHI[%Aloc4])</f>
        <v>0.64324918294830935</v>
      </c>
      <c r="L8" s="39">
        <f>SUBTOTAL(109,tbRHI[5])</f>
        <v>13887.265955063023</v>
      </c>
      <c r="M8" s="65">
        <f>SUBTOTAL(109,tbRHI[%Aloc5])</f>
        <v>0.64324918294830935</v>
      </c>
      <c r="N8" s="39">
        <f>SUBTOTAL(109,tbRHI[6])</f>
        <v>13887.265955063023</v>
      </c>
      <c r="O8" s="65">
        <f>SUBTOTAL(109,tbRHI[%Aloc6])</f>
        <v>0.64324918294830935</v>
      </c>
      <c r="P8" s="39">
        <f>SUBTOTAL(109,tbRHI[7])</f>
        <v>13887.265955063023</v>
      </c>
      <c r="Q8" s="65">
        <f>SUBTOTAL(109,tbRHI[%Aloc7])</f>
        <v>0.64324918294830935</v>
      </c>
      <c r="R8" s="39">
        <f>SUBTOTAL(109,tbRHI[8])</f>
        <v>13887.265955063023</v>
      </c>
      <c r="S8" s="65">
        <f>SUBTOTAL(109,tbRHI[%Aloc8])</f>
        <v>0.64324918294830935</v>
      </c>
      <c r="T8" s="39">
        <f>SUBTOTAL(109,tbRHI[9])</f>
        <v>13887.265955063023</v>
      </c>
      <c r="U8" s="65">
        <f>SUBTOTAL(109,tbRHI[%Aloc9])</f>
        <v>0.64324918294830935</v>
      </c>
      <c r="V8" s="39">
        <f>SUBTOTAL(109,tbRHI[10])</f>
        <v>13887.265955063023</v>
      </c>
      <c r="W8" s="65">
        <f>SUBTOTAL(109,tbRHI[%Aloc10])</f>
        <v>0.64324918294830935</v>
      </c>
      <c r="X8" s="39">
        <f>SUBTOTAL(109,tbRHI[11])</f>
        <v>13887.265955063023</v>
      </c>
      <c r="Y8" s="65">
        <f>SUBTOTAL(109,tbRHI[%Aloc11])</f>
        <v>0.64324918294830935</v>
      </c>
      <c r="Z8" s="39">
        <f>SUBTOTAL(109,tbRHI[12])</f>
        <v>13887.265955063023</v>
      </c>
      <c r="AA8" s="65">
        <f>SUBTOTAL(109,tbRHI[%Aloc12])</f>
        <v>0.64324918294830935</v>
      </c>
      <c r="AB8" s="39">
        <f>SUBTOTAL(109,tbRHI[13])</f>
        <v>1085.0113757972811</v>
      </c>
      <c r="AC8" s="65">
        <f>SUBTOTAL(109,tbRHI[%Aloc13])</f>
        <v>5.0257025625462984E-2</v>
      </c>
      <c r="AD8" s="39">
        <f>SUBTOTAL(109,tbRHI[14])</f>
        <v>1150.1120583451179</v>
      </c>
      <c r="AE8" s="65">
        <f>SUBTOTAL(109,tbRHI[%Aloc14])</f>
        <v>5.327244716299076E-2</v>
      </c>
      <c r="AF8" s="39">
        <f>SUBTOTAL(109,tbRHI[15])</f>
        <v>1150.1120583451179</v>
      </c>
      <c r="AG8" s="65">
        <f>SUBTOTAL(109,tbRHI[%Aloc15])</f>
        <v>5.327244716299076E-2</v>
      </c>
      <c r="AH8" s="39">
        <f>SUBTOTAL(109,tbRHI[16])</f>
        <v>0</v>
      </c>
      <c r="AI8" s="65">
        <f>SUBTOTAL(109,tbRHI[%Aloc16])</f>
        <v>0</v>
      </c>
      <c r="AJ8" s="39">
        <f>SUBTOTAL(109,tbRHI[17])</f>
        <v>0</v>
      </c>
      <c r="AK8" s="65">
        <f>SUBTOTAL(109,tbRHI[%Aloc17])</f>
        <v>0</v>
      </c>
      <c r="AL8" s="39">
        <f>SUBTOTAL(109,tbRHI[18])</f>
        <v>0</v>
      </c>
      <c r="AM8" s="65">
        <f>SUBTOTAL(109,tbRHI[%Aloc18])</f>
        <v>0</v>
      </c>
      <c r="AN8" s="39">
        <f>SUBTOTAL(109,tbRHI[19])</f>
        <v>0</v>
      </c>
      <c r="AO8" s="65">
        <f>SUBTOTAL(109,tbRHI[%Aloc19])</f>
        <v>0</v>
      </c>
      <c r="AP8" s="39">
        <f>SUBTOTAL(109,tbRHI[20])</f>
        <v>0</v>
      </c>
      <c r="AQ8" s="65">
        <f>SUBTOTAL(109,tbRHI[%Aloc20])</f>
        <v>0</v>
      </c>
      <c r="AR8" s="39">
        <f>SUBTOTAL(109,tbRHI[21])</f>
        <v>0</v>
      </c>
      <c r="AS8" s="65">
        <f>SUBTOTAL(109,tbRHI[%Aloc21])</f>
        <v>0</v>
      </c>
      <c r="AT8" s="39">
        <f>SUBTOTAL(109,tbRHI[22])</f>
        <v>0</v>
      </c>
      <c r="AU8" s="65">
        <f>SUBTOTAL(109,tbRHI[%Aloc22])</f>
        <v>0</v>
      </c>
      <c r="AV8" s="39">
        <f>SUBTOTAL(109,tbRHI[23])</f>
        <v>0</v>
      </c>
      <c r="AW8" s="65">
        <f>SUBTOTAL(109,tbRHI[%Aloc23])</f>
        <v>0</v>
      </c>
      <c r="AY8" s="1">
        <f>SUM(tbRHI[[#Totals],[1]]+tbRHI[[#Totals],[2]]+tbRHI[[#Totals],[3]]+tbRHI[[#Totals],[4]]+tbRHI[[#Totals],[5]]+tbRHI[[#Totals],[6]]+tbRHI[[#Totals],[7]]+tbRHI[[#Totals],[8]]+tbRHI[[#Totals],[9]]+tbRHI[[#Totals],[10]]+tbRHI[[#Totals],[11]]+tbRHI[[#Totals],[12]])</f>
        <v>166177.81146958916</v>
      </c>
    </row>
    <row r="12" spans="1:51" x14ac:dyDescent="0.25">
      <c r="D12" s="1"/>
      <c r="E12" s="1"/>
    </row>
  </sheetData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B36128-3A15-479E-9F8F-8659FC795B72}">
          <x14:formula1>
            <xm:f>DBFolha!$A$2:$A$920</xm:f>
          </x14:formula1>
          <xm:sqref>A2:A7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02E3-9615-48A9-B59B-1C10BC34D7CB}">
  <dimension ref="A1:Z22"/>
  <sheetViews>
    <sheetView showGridLines="0" topLeftCell="A6" workbookViewId="0">
      <selection activeCell="F25" sqref="F25"/>
    </sheetView>
  </sheetViews>
  <sheetFormatPr defaultColWidth="8.85546875" defaultRowHeight="15" x14ac:dyDescent="0.25"/>
  <cols>
    <col min="1" max="1" width="44.42578125" customWidth="1"/>
    <col min="2" max="2" width="15" style="1" bestFit="1" customWidth="1"/>
    <col min="3" max="3" width="15.7109375" style="1" bestFit="1" customWidth="1"/>
    <col min="4" max="9" width="11.7109375" bestFit="1" customWidth="1"/>
    <col min="10" max="12" width="11" bestFit="1" customWidth="1"/>
    <col min="13" max="26" width="12.140625" bestFit="1" customWidth="1"/>
  </cols>
  <sheetData>
    <row r="1" spans="1:26" ht="15.75" x14ac:dyDescent="0.25">
      <c r="A1" t="s">
        <v>508</v>
      </c>
      <c r="B1" s="1" t="s">
        <v>509</v>
      </c>
      <c r="C1" s="1" t="s">
        <v>510</v>
      </c>
      <c r="D1" s="58" t="s">
        <v>462</v>
      </c>
      <c r="E1" s="58" t="s">
        <v>464</v>
      </c>
      <c r="F1" s="58" t="s">
        <v>466</v>
      </c>
      <c r="G1" s="58" t="s">
        <v>468</v>
      </c>
      <c r="H1" s="58" t="s">
        <v>470</v>
      </c>
      <c r="I1" s="58" t="s">
        <v>472</v>
      </c>
      <c r="J1" s="58" t="s">
        <v>474</v>
      </c>
      <c r="K1" s="58" t="s">
        <v>476</v>
      </c>
      <c r="L1" s="58" t="s">
        <v>478</v>
      </c>
      <c r="M1" s="58" t="s">
        <v>480</v>
      </c>
      <c r="N1" s="58" t="s">
        <v>482</v>
      </c>
      <c r="O1" s="58" t="s">
        <v>484</v>
      </c>
      <c r="P1" s="58" t="s">
        <v>486</v>
      </c>
      <c r="Q1" s="58" t="s">
        <v>488</v>
      </c>
      <c r="R1" s="58" t="s">
        <v>490</v>
      </c>
      <c r="S1" s="58" t="s">
        <v>492</v>
      </c>
      <c r="T1" s="58" t="s">
        <v>494</v>
      </c>
      <c r="U1" s="58" t="s">
        <v>496</v>
      </c>
      <c r="V1" s="58" t="s">
        <v>498</v>
      </c>
      <c r="W1" s="58" t="s">
        <v>500</v>
      </c>
      <c r="X1" s="58" t="s">
        <v>502</v>
      </c>
      <c r="Y1" s="58" t="s">
        <v>504</v>
      </c>
      <c r="Z1" s="58" t="s">
        <v>506</v>
      </c>
    </row>
    <row r="2" spans="1:26" x14ac:dyDescent="0.25">
      <c r="A2" t="s">
        <v>511</v>
      </c>
      <c r="B2" s="1">
        <v>41000</v>
      </c>
      <c r="C2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18244.72397332314</v>
      </c>
      <c r="D2" s="1">
        <f>((SUMIF(tbEquipe[Mês],D$1,tbEquipe[Alocação])*Configuração!$D$14+SUM(tbRHI[%Aloc1])*Configuração!$D$15)/Configuração!$D$13)*tbRateio[[#This Row],[Custo Mensal]]</f>
        <v>1496.2599527957459</v>
      </c>
      <c r="E2" s="1">
        <f>((SUMIF(tbEquipe[Mês],E$1,tbEquipe[Alocação])*Configuração!$D$14+SUM(tbRHI[%Aloc2])*Configuração!$D$15)/Configuração!$D$13)*tbRateio[[#This Row],[Custo Mensal]]</f>
        <v>1502.5819137178298</v>
      </c>
      <c r="F2" s="1">
        <f>((SUMIF(tbEquipe[Mês],F$1,tbEquipe[Alocação])*Configuração!$D$14+SUM(tbRHI[%Aloc3])*Configuração!$D$15)/Configuração!$D$13)*tbRateio[[#This Row],[Custo Mensal]]</f>
        <v>1502.5819137178298</v>
      </c>
      <c r="G2" s="1">
        <f>((SUMIF(tbEquipe[Mês],G$1,tbEquipe[Alocação])*Configuração!$D$14+SUM(tbRHI[%Aloc4])*Configuração!$D$15)/Configuração!$D$13)*tbRateio[[#This Row],[Custo Mensal]]</f>
        <v>1502.5819137178298</v>
      </c>
      <c r="H2" s="1">
        <f>((SUMIF(tbEquipe[Mês],H$1,tbEquipe[Alocação])*Configuração!$D$14+SUM(tbRHI[%Aloc5])*Configuração!$D$15)/Configuração!$D$13)*tbRateio[[#This Row],[Custo Mensal]]</f>
        <v>1502.5819137178298</v>
      </c>
      <c r="I2" s="1">
        <f>((SUMIF(tbEquipe[Mês],I$1,tbEquipe[Alocação])*Configuração!$D$14+SUM(tbRHI[%Aloc6])*Configuração!$D$15)/Configuração!$D$13)*tbRateio[[#This Row],[Custo Mensal]]</f>
        <v>1502.5819137178298</v>
      </c>
      <c r="J2" s="1">
        <f>((SUMIF(tbEquipe[Mês],J$1,tbEquipe[Alocação])*Configuração!$D$14+SUM(tbRHI[%Aloc7])*Configuração!$D$15)/Configuração!$D$13)*tbRateio[[#This Row],[Custo Mensal]]</f>
        <v>1502.5819137178298</v>
      </c>
      <c r="K2" s="1">
        <f>((SUMIF(tbEquipe[Mês],K$1,tbEquipe[Alocação])*Configuração!$D$14+SUM(tbRHI[%Aloc8])*Configuração!$D$15)/Configuração!$D$13)*tbRateio[[#This Row],[Custo Mensal]]</f>
        <v>1502.5819137178298</v>
      </c>
      <c r="L2" s="1">
        <f>((SUMIF(tbEquipe[Mês],L$1,tbEquipe[Alocação])*Configuração!$D$14+SUM(tbRHI[%Aloc9])*Configuração!$D$15)/Configuração!$D$13)*tbRateio[[#This Row],[Custo Mensal]]</f>
        <v>1502.5819137178298</v>
      </c>
      <c r="M2" s="1">
        <f>((SUMIF(tbEquipe[Mês],M$1,tbEquipe[Alocação])*Configuração!$D$14+SUM(tbRHI[%Aloc10])*Configuração!$D$15)/Configuração!$D$13)*tbRateio[[#This Row],[Custo Mensal]]</f>
        <v>1502.5819137178298</v>
      </c>
      <c r="N2" s="1">
        <f>((SUMIF(tbEquipe[Mês],N$1,tbEquipe[Alocação])*Configuração!$D$14+SUM(tbRHI[%Aloc11])*Configuração!$D$15)/Configuração!$D$13)*tbRateio[[#This Row],[Custo Mensal]]</f>
        <v>1502.5819137178298</v>
      </c>
      <c r="O2" s="1">
        <f>((SUMIF(tbEquipe[Mês],O$1,tbEquipe[Alocação])*Configuração!$D$14+SUM(tbRHI[%Aloc12])*Configuração!$D$15)/Configuração!$D$13)*tbRateio[[#This Row],[Custo Mensal]]</f>
        <v>1502.5819137178298</v>
      </c>
      <c r="P2" s="1">
        <f>((SUMIF(tbEquipe[Mês],P$1,tbEquipe[Alocação])*Configuração!$D$14+SUM(tbRHI[%Aloc13])*Configuração!$D$15)/Configuração!$D$13)*tbRateio[[#This Row],[Custo Mensal]]</f>
        <v>72.769773408822573</v>
      </c>
      <c r="Q2" s="1">
        <f>((SUMIF(tbEquipe[Mês],Q$1,tbEquipe[Alocação])*Configuração!$D$14+SUM(tbRHI[%Aloc14])*Configuração!$D$15)/Configuração!$D$13)*tbRateio[[#This Row],[Custo Mensal]]</f>
        <v>73.646598111224279</v>
      </c>
      <c r="R2" s="1">
        <f>((SUMIF(tbEquipe[Mês],R$1,tbEquipe[Alocação])*Configuração!$D$14+SUM(tbRHI[%Aloc15])*Configuração!$D$15)/Configuração!$D$13)*tbRateio[[#This Row],[Custo Mensal]]</f>
        <v>73.646598111224279</v>
      </c>
      <c r="S2" s="1">
        <f>((SUMIF(tbEquipe[Mês],S$1,tbEquipe[Alocação])*Configuração!$D$14+SUM(tbRHI[%Aloc16])*Configuração!$D$15)/Configuração!$D$13)*tbRateio[[#This Row],[Custo Mensal]]</f>
        <v>0</v>
      </c>
      <c r="T2" s="1">
        <f>((SUMIF(tbEquipe[Mês],T$1,tbEquipe[Alocação])*Configuração!$D$14+SUM(tbRHI[%Aloc17])*Configuração!$D$15)/Configuração!$D$13)*tbRateio[[#This Row],[Custo Mensal]]</f>
        <v>0</v>
      </c>
      <c r="U2" s="1">
        <f>((SUMIF(tbEquipe[Mês],U$1,tbEquipe[Alocação])*Configuração!$D$14+SUM(tbRHI[%Aloc18])*Configuração!$D$15)/Configuração!$D$13)*tbRateio[[#This Row],[Custo Mensal]]</f>
        <v>0</v>
      </c>
      <c r="V2" s="1">
        <f>((SUMIF(tbEquipe[Mês],V$1,tbEquipe[Alocação])*Configuração!$D$14+SUM(tbRHI[%Aloc19])*Configuração!$D$15)/Configuração!$D$13)*tbRateio[[#This Row],[Custo Mensal]]</f>
        <v>0</v>
      </c>
      <c r="W2" s="1">
        <f>((SUMIF(tbEquipe[Mês],W$1,tbEquipe[Alocação])*Configuração!$D$14+SUM(tbRHI[%Aloc20])*Configuração!$D$15)/Configuração!$D$13)*tbRateio[[#This Row],[Custo Mensal]]</f>
        <v>0</v>
      </c>
      <c r="X2" s="1">
        <f>((SUMIF(tbEquipe[Mês],X$1,tbEquipe[Alocação])*Configuração!$D$14+SUM(tbRHI[%Aloc21])*Configuração!$D$15)/Configuração!$D$13)*tbRateio[[#This Row],[Custo Mensal]]</f>
        <v>0</v>
      </c>
      <c r="Y2" s="1">
        <f>((SUMIF(tbEquipe[Mês],Y$1,tbEquipe[Alocação])*Configuração!$D$14+SUM(tbRHI[%Aloc22])*Configuração!$D$15)/Configuração!$D$13)*tbRateio[[#This Row],[Custo Mensal]]</f>
        <v>0</v>
      </c>
      <c r="Z2" s="1">
        <f>((SUMIF(tbEquipe[Mês],Z$1,tbEquipe[Alocação])*Configuração!$D$14+SUM(tbRHI[%Aloc23])*Configuração!$D$15)/Configuração!$D$13)*tbRateio[[#This Row],[Custo Mensal]]</f>
        <v>0</v>
      </c>
    </row>
    <row r="3" spans="1:26" x14ac:dyDescent="0.25">
      <c r="A3" t="s">
        <v>512</v>
      </c>
      <c r="B3" s="1">
        <v>75000</v>
      </c>
      <c r="C3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33374.495073152109</v>
      </c>
      <c r="D3" s="1">
        <f>((SUMIF(tbEquipe[Mês],D$1,tbEquipe[Alocação])*Configuração!$D$14+SUM(tbRHI[%Aloc1])*Configuração!$D$15)/Configuração!$D$13)*tbRateio[[#This Row],[Custo Mensal]]</f>
        <v>2737.060889260511</v>
      </c>
      <c r="E3" s="1">
        <f>((SUMIF(tbEquipe[Mês],E$1,tbEquipe[Alocação])*Configuração!$D$14+SUM(tbRHI[%Aloc2])*Configuração!$D$15)/Configuração!$D$13)*tbRateio[[#This Row],[Custo Mensal]]</f>
        <v>2748.6254519228596</v>
      </c>
      <c r="F3" s="1">
        <f>((SUMIF(tbEquipe[Mês],F$1,tbEquipe[Alocação])*Configuração!$D$14+SUM(tbRHI[%Aloc3])*Configuração!$D$15)/Configuração!$D$13)*tbRateio[[#This Row],[Custo Mensal]]</f>
        <v>2748.6254519228596</v>
      </c>
      <c r="G3" s="1">
        <f>((SUMIF(tbEquipe[Mês],G$1,tbEquipe[Alocação])*Configuração!$D$14+SUM(tbRHI[%Aloc4])*Configuração!$D$15)/Configuração!$D$13)*tbRateio[[#This Row],[Custo Mensal]]</f>
        <v>2748.6254519228596</v>
      </c>
      <c r="H3" s="1">
        <f>((SUMIF(tbEquipe[Mês],H$1,tbEquipe[Alocação])*Configuração!$D$14+SUM(tbRHI[%Aloc5])*Configuração!$D$15)/Configuração!$D$13)*tbRateio[[#This Row],[Custo Mensal]]</f>
        <v>2748.6254519228596</v>
      </c>
      <c r="I3" s="1">
        <f>((SUMIF(tbEquipe[Mês],I$1,tbEquipe[Alocação])*Configuração!$D$14+SUM(tbRHI[%Aloc6])*Configuração!$D$15)/Configuração!$D$13)*tbRateio[[#This Row],[Custo Mensal]]</f>
        <v>2748.6254519228596</v>
      </c>
      <c r="J3" s="1">
        <f>((SUMIF(tbEquipe[Mês],J$1,tbEquipe[Alocação])*Configuração!$D$14+SUM(tbRHI[%Aloc7])*Configuração!$D$15)/Configuração!$D$13)*tbRateio[[#This Row],[Custo Mensal]]</f>
        <v>2748.6254519228596</v>
      </c>
      <c r="K3" s="1">
        <f>((SUMIF(tbEquipe[Mês],K$1,tbEquipe[Alocação])*Configuração!$D$14+SUM(tbRHI[%Aloc8])*Configuração!$D$15)/Configuração!$D$13)*tbRateio[[#This Row],[Custo Mensal]]</f>
        <v>2748.6254519228596</v>
      </c>
      <c r="L3" s="1">
        <f>((SUMIF(tbEquipe[Mês],L$1,tbEquipe[Alocação])*Configuração!$D$14+SUM(tbRHI[%Aloc9])*Configuração!$D$15)/Configuração!$D$13)*tbRateio[[#This Row],[Custo Mensal]]</f>
        <v>2748.6254519228596</v>
      </c>
      <c r="M3" s="1">
        <f>((SUMIF(tbEquipe[Mês],M$1,tbEquipe[Alocação])*Configuração!$D$14+SUM(tbRHI[%Aloc10])*Configuração!$D$15)/Configuração!$D$13)*tbRateio[[#This Row],[Custo Mensal]]</f>
        <v>2748.6254519228596</v>
      </c>
      <c r="N3" s="1">
        <f>((SUMIF(tbEquipe[Mês],N$1,tbEquipe[Alocação])*Configuração!$D$14+SUM(tbRHI[%Aloc11])*Configuração!$D$15)/Configuração!$D$13)*tbRateio[[#This Row],[Custo Mensal]]</f>
        <v>2748.6254519228596</v>
      </c>
      <c r="O3" s="1">
        <f>((SUMIF(tbEquipe[Mês],O$1,tbEquipe[Alocação])*Configuração!$D$14+SUM(tbRHI[%Aloc12])*Configuração!$D$15)/Configuração!$D$13)*tbRateio[[#This Row],[Custo Mensal]]</f>
        <v>2748.6254519228596</v>
      </c>
      <c r="P3" s="1">
        <f>((SUMIF(tbEquipe[Mês],P$1,tbEquipe[Alocação])*Configuração!$D$14+SUM(tbRHI[%Aloc13])*Configuração!$D$15)/Configuração!$D$13)*tbRateio[[#This Row],[Custo Mensal]]</f>
        <v>133.1154391624803</v>
      </c>
      <c r="Q3" s="1">
        <f>((SUMIF(tbEquipe[Mês],Q$1,tbEquipe[Alocação])*Configuração!$D$14+SUM(tbRHI[%Aloc14])*Configuração!$D$15)/Configuração!$D$13)*tbRateio[[#This Row],[Custo Mensal]]</f>
        <v>134.71938678882489</v>
      </c>
      <c r="R3" s="1">
        <f>((SUMIF(tbEquipe[Mês],R$1,tbEquipe[Alocação])*Configuração!$D$14+SUM(tbRHI[%Aloc15])*Configuração!$D$15)/Configuração!$D$13)*tbRateio[[#This Row],[Custo Mensal]]</f>
        <v>134.71938678882489</v>
      </c>
      <c r="S3" s="1">
        <f>((SUMIF(tbEquipe[Mês],S$1,tbEquipe[Alocação])*Configuração!$D$14+SUM(tbRHI[%Aloc16])*Configuração!$D$15)/Configuração!$D$13)*tbRateio[[#This Row],[Custo Mensal]]</f>
        <v>0</v>
      </c>
      <c r="T3" s="1">
        <f>((SUMIF(tbEquipe[Mês],T$1,tbEquipe[Alocação])*Configuração!$D$14+SUM(tbRHI[%Aloc17])*Configuração!$D$15)/Configuração!$D$13)*tbRateio[[#This Row],[Custo Mensal]]</f>
        <v>0</v>
      </c>
      <c r="U3" s="1">
        <f>((SUMIF(tbEquipe[Mês],U$1,tbEquipe[Alocação])*Configuração!$D$14+SUM(tbRHI[%Aloc18])*Configuração!$D$15)/Configuração!$D$13)*tbRateio[[#This Row],[Custo Mensal]]</f>
        <v>0</v>
      </c>
      <c r="V3" s="1">
        <f>((SUMIF(tbEquipe[Mês],V$1,tbEquipe[Alocação])*Configuração!$D$14+SUM(tbRHI[%Aloc19])*Configuração!$D$15)/Configuração!$D$13)*tbRateio[[#This Row],[Custo Mensal]]</f>
        <v>0</v>
      </c>
      <c r="W3" s="1">
        <f>((SUMIF(tbEquipe[Mês],W$1,tbEquipe[Alocação])*Configuração!$D$14+SUM(tbRHI[%Aloc20])*Configuração!$D$15)/Configuração!$D$13)*tbRateio[[#This Row],[Custo Mensal]]</f>
        <v>0</v>
      </c>
      <c r="X3" s="1">
        <f>((SUMIF(tbEquipe[Mês],X$1,tbEquipe[Alocação])*Configuração!$D$14+SUM(tbRHI[%Aloc21])*Configuração!$D$15)/Configuração!$D$13)*tbRateio[[#This Row],[Custo Mensal]]</f>
        <v>0</v>
      </c>
      <c r="Y3" s="1">
        <f>((SUMIF(tbEquipe[Mês],Y$1,tbEquipe[Alocação])*Configuração!$D$14+SUM(tbRHI[%Aloc22])*Configuração!$D$15)/Configuração!$D$13)*tbRateio[[#This Row],[Custo Mensal]]</f>
        <v>0</v>
      </c>
      <c r="Z3" s="1">
        <f>((SUMIF(tbEquipe[Mês],Z$1,tbEquipe[Alocação])*Configuração!$D$14+SUM(tbRHI[%Aloc23])*Configuração!$D$15)/Configuração!$D$13)*tbRateio[[#This Row],[Custo Mensal]]</f>
        <v>0</v>
      </c>
    </row>
    <row r="4" spans="1:26" x14ac:dyDescent="0.25">
      <c r="A4" t="s">
        <v>513</v>
      </c>
      <c r="B4" s="1">
        <v>1000</v>
      </c>
      <c r="C4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444.99326764202783</v>
      </c>
      <c r="D4" s="1">
        <f>((SUMIF(tbEquipe[Mês],D$1,tbEquipe[Alocação])*Configuração!$D$14+SUM(tbRHI[%Aloc1])*Configuração!$D$15)/Configuração!$D$13)*tbRateio[[#This Row],[Custo Mensal]]</f>
        <v>36.494145190140145</v>
      </c>
      <c r="E4" s="1">
        <f>((SUMIF(tbEquipe[Mês],E$1,tbEquipe[Alocação])*Configuração!$D$14+SUM(tbRHI[%Aloc2])*Configuração!$D$15)/Configuração!$D$13)*tbRateio[[#This Row],[Custo Mensal]]</f>
        <v>36.648339358971455</v>
      </c>
      <c r="F4" s="1">
        <f>((SUMIF(tbEquipe[Mês],F$1,tbEquipe[Alocação])*Configuração!$D$14+SUM(tbRHI[%Aloc3])*Configuração!$D$15)/Configuração!$D$13)*tbRateio[[#This Row],[Custo Mensal]]</f>
        <v>36.648339358971455</v>
      </c>
      <c r="G4" s="1">
        <f>((SUMIF(tbEquipe[Mês],G$1,tbEquipe[Alocação])*Configuração!$D$14+SUM(tbRHI[%Aloc4])*Configuração!$D$15)/Configuração!$D$13)*tbRateio[[#This Row],[Custo Mensal]]</f>
        <v>36.648339358971455</v>
      </c>
      <c r="H4" s="1">
        <f>((SUMIF(tbEquipe[Mês],H$1,tbEquipe[Alocação])*Configuração!$D$14+SUM(tbRHI[%Aloc5])*Configuração!$D$15)/Configuração!$D$13)*tbRateio[[#This Row],[Custo Mensal]]</f>
        <v>36.648339358971455</v>
      </c>
      <c r="I4" s="1">
        <f>((SUMIF(tbEquipe[Mês],I$1,tbEquipe[Alocação])*Configuração!$D$14+SUM(tbRHI[%Aloc6])*Configuração!$D$15)/Configuração!$D$13)*tbRateio[[#This Row],[Custo Mensal]]</f>
        <v>36.648339358971455</v>
      </c>
      <c r="J4" s="1">
        <f>((SUMIF(tbEquipe[Mês],J$1,tbEquipe[Alocação])*Configuração!$D$14+SUM(tbRHI[%Aloc7])*Configuração!$D$15)/Configuração!$D$13)*tbRateio[[#This Row],[Custo Mensal]]</f>
        <v>36.648339358971455</v>
      </c>
      <c r="K4" s="1">
        <f>((SUMIF(tbEquipe[Mês],K$1,tbEquipe[Alocação])*Configuração!$D$14+SUM(tbRHI[%Aloc8])*Configuração!$D$15)/Configuração!$D$13)*tbRateio[[#This Row],[Custo Mensal]]</f>
        <v>36.648339358971455</v>
      </c>
      <c r="L4" s="1">
        <f>((SUMIF(tbEquipe[Mês],L$1,tbEquipe[Alocação])*Configuração!$D$14+SUM(tbRHI[%Aloc9])*Configuração!$D$15)/Configuração!$D$13)*tbRateio[[#This Row],[Custo Mensal]]</f>
        <v>36.648339358971455</v>
      </c>
      <c r="M4" s="1">
        <f>((SUMIF(tbEquipe[Mês],M$1,tbEquipe[Alocação])*Configuração!$D$14+SUM(tbRHI[%Aloc10])*Configuração!$D$15)/Configuração!$D$13)*tbRateio[[#This Row],[Custo Mensal]]</f>
        <v>36.648339358971455</v>
      </c>
      <c r="N4" s="1">
        <f>((SUMIF(tbEquipe[Mês],N$1,tbEquipe[Alocação])*Configuração!$D$14+SUM(tbRHI[%Aloc11])*Configuração!$D$15)/Configuração!$D$13)*tbRateio[[#This Row],[Custo Mensal]]</f>
        <v>36.648339358971455</v>
      </c>
      <c r="O4" s="1">
        <f>((SUMIF(tbEquipe[Mês],O$1,tbEquipe[Alocação])*Configuração!$D$14+SUM(tbRHI[%Aloc12])*Configuração!$D$15)/Configuração!$D$13)*tbRateio[[#This Row],[Custo Mensal]]</f>
        <v>36.648339358971455</v>
      </c>
      <c r="P4" s="1">
        <f>((SUMIF(tbEquipe[Mês],P$1,tbEquipe[Alocação])*Configuração!$D$14+SUM(tbRHI[%Aloc13])*Configuração!$D$15)/Configuração!$D$13)*tbRateio[[#This Row],[Custo Mensal]]</f>
        <v>1.7748725221664041</v>
      </c>
      <c r="Q4" s="1">
        <f>((SUMIF(tbEquipe[Mês],Q$1,tbEquipe[Alocação])*Configuração!$D$14+SUM(tbRHI[%Aloc14])*Configuração!$D$15)/Configuração!$D$13)*tbRateio[[#This Row],[Custo Mensal]]</f>
        <v>1.7962584905176653</v>
      </c>
      <c r="R4" s="1">
        <f>((SUMIF(tbEquipe[Mês],R$1,tbEquipe[Alocação])*Configuração!$D$14+SUM(tbRHI[%Aloc15])*Configuração!$D$15)/Configuração!$D$13)*tbRateio[[#This Row],[Custo Mensal]]</f>
        <v>1.7962584905176653</v>
      </c>
      <c r="S4" s="1">
        <f>((SUMIF(tbEquipe[Mês],S$1,tbEquipe[Alocação])*Configuração!$D$14+SUM(tbRHI[%Aloc16])*Configuração!$D$15)/Configuração!$D$13)*tbRateio[[#This Row],[Custo Mensal]]</f>
        <v>0</v>
      </c>
      <c r="T4" s="1">
        <f>((SUMIF(tbEquipe[Mês],T$1,tbEquipe[Alocação])*Configuração!$D$14+SUM(tbRHI[%Aloc17])*Configuração!$D$15)/Configuração!$D$13)*tbRateio[[#This Row],[Custo Mensal]]</f>
        <v>0</v>
      </c>
      <c r="U4" s="1">
        <f>((SUMIF(tbEquipe[Mês],U$1,tbEquipe[Alocação])*Configuração!$D$14+SUM(tbRHI[%Aloc18])*Configuração!$D$15)/Configuração!$D$13)*tbRateio[[#This Row],[Custo Mensal]]</f>
        <v>0</v>
      </c>
      <c r="V4" s="1">
        <f>((SUMIF(tbEquipe[Mês],V$1,tbEquipe[Alocação])*Configuração!$D$14+SUM(tbRHI[%Aloc19])*Configuração!$D$15)/Configuração!$D$13)*tbRateio[[#This Row],[Custo Mensal]]</f>
        <v>0</v>
      </c>
      <c r="W4" s="1">
        <f>((SUMIF(tbEquipe[Mês],W$1,tbEquipe[Alocação])*Configuração!$D$14+SUM(tbRHI[%Aloc20])*Configuração!$D$15)/Configuração!$D$13)*tbRateio[[#This Row],[Custo Mensal]]</f>
        <v>0</v>
      </c>
      <c r="X4" s="1">
        <f>((SUMIF(tbEquipe[Mês],X$1,tbEquipe[Alocação])*Configuração!$D$14+SUM(tbRHI[%Aloc21])*Configuração!$D$15)/Configuração!$D$13)*tbRateio[[#This Row],[Custo Mensal]]</f>
        <v>0</v>
      </c>
      <c r="Y4" s="1">
        <f>((SUMIF(tbEquipe[Mês],Y$1,tbEquipe[Alocação])*Configuração!$D$14+SUM(tbRHI[%Aloc22])*Configuração!$D$15)/Configuração!$D$13)*tbRateio[[#This Row],[Custo Mensal]]</f>
        <v>0</v>
      </c>
      <c r="Z4" s="1">
        <f>((SUMIF(tbEquipe[Mês],Z$1,tbEquipe[Alocação])*Configuração!$D$14+SUM(tbRHI[%Aloc23])*Configuração!$D$15)/Configuração!$D$13)*tbRateio[[#This Row],[Custo Mensal]]</f>
        <v>0</v>
      </c>
    </row>
    <row r="5" spans="1:26" x14ac:dyDescent="0.25">
      <c r="A5" t="s">
        <v>514</v>
      </c>
      <c r="B5" s="1">
        <v>9000</v>
      </c>
      <c r="C5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4004.9394087782507</v>
      </c>
      <c r="D5" s="1">
        <f>((SUMIF(tbEquipe[Mês],D$1,tbEquipe[Alocação])*Configuração!$D$14+SUM(tbRHI[%Aloc1])*Configuração!$D$15)/Configuração!$D$13)*tbRateio[[#This Row],[Custo Mensal]]</f>
        <v>328.44730671126132</v>
      </c>
      <c r="E5" s="1">
        <f>((SUMIF(tbEquipe[Mês],E$1,tbEquipe[Alocação])*Configuração!$D$14+SUM(tbRHI[%Aloc2])*Configuração!$D$15)/Configuração!$D$13)*tbRateio[[#This Row],[Custo Mensal]]</f>
        <v>329.83505423074314</v>
      </c>
      <c r="F5" s="1">
        <f>((SUMIF(tbEquipe[Mês],F$1,tbEquipe[Alocação])*Configuração!$D$14+SUM(tbRHI[%Aloc3])*Configuração!$D$15)/Configuração!$D$13)*tbRateio[[#This Row],[Custo Mensal]]</f>
        <v>329.83505423074314</v>
      </c>
      <c r="G5" s="1">
        <f>((SUMIF(tbEquipe[Mês],G$1,tbEquipe[Alocação])*Configuração!$D$14+SUM(tbRHI[%Aloc4])*Configuração!$D$15)/Configuração!$D$13)*tbRateio[[#This Row],[Custo Mensal]]</f>
        <v>329.83505423074314</v>
      </c>
      <c r="H5" s="1">
        <f>((SUMIF(tbEquipe[Mês],H$1,tbEquipe[Alocação])*Configuração!$D$14+SUM(tbRHI[%Aloc5])*Configuração!$D$15)/Configuração!$D$13)*tbRateio[[#This Row],[Custo Mensal]]</f>
        <v>329.83505423074314</v>
      </c>
      <c r="I5" s="1">
        <f>((SUMIF(tbEquipe[Mês],I$1,tbEquipe[Alocação])*Configuração!$D$14+SUM(tbRHI[%Aloc6])*Configuração!$D$15)/Configuração!$D$13)*tbRateio[[#This Row],[Custo Mensal]]</f>
        <v>329.83505423074314</v>
      </c>
      <c r="J5" s="1">
        <f>((SUMIF(tbEquipe[Mês],J$1,tbEquipe[Alocação])*Configuração!$D$14+SUM(tbRHI[%Aloc7])*Configuração!$D$15)/Configuração!$D$13)*tbRateio[[#This Row],[Custo Mensal]]</f>
        <v>329.83505423074314</v>
      </c>
      <c r="K5" s="1">
        <f>((SUMIF(tbEquipe[Mês],K$1,tbEquipe[Alocação])*Configuração!$D$14+SUM(tbRHI[%Aloc8])*Configuração!$D$15)/Configuração!$D$13)*tbRateio[[#This Row],[Custo Mensal]]</f>
        <v>329.83505423074314</v>
      </c>
      <c r="L5" s="1">
        <f>((SUMIF(tbEquipe[Mês],L$1,tbEquipe[Alocação])*Configuração!$D$14+SUM(tbRHI[%Aloc9])*Configuração!$D$15)/Configuração!$D$13)*tbRateio[[#This Row],[Custo Mensal]]</f>
        <v>329.83505423074314</v>
      </c>
      <c r="M5" s="1">
        <f>((SUMIF(tbEquipe[Mês],M$1,tbEquipe[Alocação])*Configuração!$D$14+SUM(tbRHI[%Aloc10])*Configuração!$D$15)/Configuração!$D$13)*tbRateio[[#This Row],[Custo Mensal]]</f>
        <v>329.83505423074314</v>
      </c>
      <c r="N5" s="1">
        <f>((SUMIF(tbEquipe[Mês],N$1,tbEquipe[Alocação])*Configuração!$D$14+SUM(tbRHI[%Aloc11])*Configuração!$D$15)/Configuração!$D$13)*tbRateio[[#This Row],[Custo Mensal]]</f>
        <v>329.83505423074314</v>
      </c>
      <c r="O5" s="1">
        <f>((SUMIF(tbEquipe[Mês],O$1,tbEquipe[Alocação])*Configuração!$D$14+SUM(tbRHI[%Aloc12])*Configuração!$D$15)/Configuração!$D$13)*tbRateio[[#This Row],[Custo Mensal]]</f>
        <v>329.83505423074314</v>
      </c>
      <c r="P5" s="1">
        <f>((SUMIF(tbEquipe[Mês],P$1,tbEquipe[Alocação])*Configuração!$D$14+SUM(tbRHI[%Aloc13])*Configuração!$D$15)/Configuração!$D$13)*tbRateio[[#This Row],[Custo Mensal]]</f>
        <v>15.973852699497638</v>
      </c>
      <c r="Q5" s="1">
        <f>((SUMIF(tbEquipe[Mês],Q$1,tbEquipe[Alocação])*Configuração!$D$14+SUM(tbRHI[%Aloc14])*Configuração!$D$15)/Configuração!$D$13)*tbRateio[[#This Row],[Custo Mensal]]</f>
        <v>16.16632641465899</v>
      </c>
      <c r="R5" s="1">
        <f>((SUMIF(tbEquipe[Mês],R$1,tbEquipe[Alocação])*Configuração!$D$14+SUM(tbRHI[%Aloc15])*Configuração!$D$15)/Configuração!$D$13)*tbRateio[[#This Row],[Custo Mensal]]</f>
        <v>16.16632641465899</v>
      </c>
      <c r="S5" s="1">
        <f>((SUMIF(tbEquipe[Mês],S$1,tbEquipe[Alocação])*Configuração!$D$14+SUM(tbRHI[%Aloc16])*Configuração!$D$15)/Configuração!$D$13)*tbRateio[[#This Row],[Custo Mensal]]</f>
        <v>0</v>
      </c>
      <c r="T5" s="1">
        <f>((SUMIF(tbEquipe[Mês],T$1,tbEquipe[Alocação])*Configuração!$D$14+SUM(tbRHI[%Aloc17])*Configuração!$D$15)/Configuração!$D$13)*tbRateio[[#This Row],[Custo Mensal]]</f>
        <v>0</v>
      </c>
      <c r="U5" s="1">
        <f>((SUMIF(tbEquipe[Mês],U$1,tbEquipe[Alocação])*Configuração!$D$14+SUM(tbRHI[%Aloc18])*Configuração!$D$15)/Configuração!$D$13)*tbRateio[[#This Row],[Custo Mensal]]</f>
        <v>0</v>
      </c>
      <c r="V5" s="1">
        <f>((SUMIF(tbEquipe[Mês],V$1,tbEquipe[Alocação])*Configuração!$D$14+SUM(tbRHI[%Aloc19])*Configuração!$D$15)/Configuração!$D$13)*tbRateio[[#This Row],[Custo Mensal]]</f>
        <v>0</v>
      </c>
      <c r="W5" s="1">
        <f>((SUMIF(tbEquipe[Mês],W$1,tbEquipe[Alocação])*Configuração!$D$14+SUM(tbRHI[%Aloc20])*Configuração!$D$15)/Configuração!$D$13)*tbRateio[[#This Row],[Custo Mensal]]</f>
        <v>0</v>
      </c>
      <c r="X5" s="1">
        <f>((SUMIF(tbEquipe[Mês],X$1,tbEquipe[Alocação])*Configuração!$D$14+SUM(tbRHI[%Aloc21])*Configuração!$D$15)/Configuração!$D$13)*tbRateio[[#This Row],[Custo Mensal]]</f>
        <v>0</v>
      </c>
      <c r="Y5" s="1">
        <f>((SUMIF(tbEquipe[Mês],Y$1,tbEquipe[Alocação])*Configuração!$D$14+SUM(tbRHI[%Aloc22])*Configuração!$D$15)/Configuração!$D$13)*tbRateio[[#This Row],[Custo Mensal]]</f>
        <v>0</v>
      </c>
      <c r="Z5" s="1">
        <f>((SUMIF(tbEquipe[Mês],Z$1,tbEquipe[Alocação])*Configuração!$D$14+SUM(tbRHI[%Aloc23])*Configuração!$D$15)/Configuração!$D$13)*tbRateio[[#This Row],[Custo Mensal]]</f>
        <v>0</v>
      </c>
    </row>
    <row r="6" spans="1:26" x14ac:dyDescent="0.25">
      <c r="A6" t="s">
        <v>515</v>
      </c>
      <c r="B6" s="1">
        <v>560</v>
      </c>
      <c r="C6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249.19622987953565</v>
      </c>
      <c r="D6" s="1">
        <f>((SUMIF(tbEquipe[Mês],D$1,tbEquipe[Alocação])*Configuração!$D$14+SUM(tbRHI[%Aloc1])*Configuração!$D$15)/Configuração!$D$13)*tbRateio[[#This Row],[Custo Mensal]]</f>
        <v>20.436721306478482</v>
      </c>
      <c r="E6" s="1">
        <f>((SUMIF(tbEquipe[Mês],E$1,tbEquipe[Alocação])*Configuração!$D$14+SUM(tbRHI[%Aloc2])*Configuração!$D$15)/Configuração!$D$13)*tbRateio[[#This Row],[Custo Mensal]]</f>
        <v>20.523070041024017</v>
      </c>
      <c r="F6" s="1">
        <f>((SUMIF(tbEquipe[Mês],F$1,tbEquipe[Alocação])*Configuração!$D$14+SUM(tbRHI[%Aloc3])*Configuração!$D$15)/Configuração!$D$13)*tbRateio[[#This Row],[Custo Mensal]]</f>
        <v>20.523070041024017</v>
      </c>
      <c r="G6" s="1">
        <f>((SUMIF(tbEquipe[Mês],G$1,tbEquipe[Alocação])*Configuração!$D$14+SUM(tbRHI[%Aloc4])*Configuração!$D$15)/Configuração!$D$13)*tbRateio[[#This Row],[Custo Mensal]]</f>
        <v>20.523070041024017</v>
      </c>
      <c r="H6" s="1">
        <f>((SUMIF(tbEquipe[Mês],H$1,tbEquipe[Alocação])*Configuração!$D$14+SUM(tbRHI[%Aloc5])*Configuração!$D$15)/Configuração!$D$13)*tbRateio[[#This Row],[Custo Mensal]]</f>
        <v>20.523070041024017</v>
      </c>
      <c r="I6" s="1">
        <f>((SUMIF(tbEquipe[Mês],I$1,tbEquipe[Alocação])*Configuração!$D$14+SUM(tbRHI[%Aloc6])*Configuração!$D$15)/Configuração!$D$13)*tbRateio[[#This Row],[Custo Mensal]]</f>
        <v>20.523070041024017</v>
      </c>
      <c r="J6" s="1">
        <f>((SUMIF(tbEquipe[Mês],J$1,tbEquipe[Alocação])*Configuração!$D$14+SUM(tbRHI[%Aloc7])*Configuração!$D$15)/Configuração!$D$13)*tbRateio[[#This Row],[Custo Mensal]]</f>
        <v>20.523070041024017</v>
      </c>
      <c r="K6" s="1">
        <f>((SUMIF(tbEquipe[Mês],K$1,tbEquipe[Alocação])*Configuração!$D$14+SUM(tbRHI[%Aloc8])*Configuração!$D$15)/Configuração!$D$13)*tbRateio[[#This Row],[Custo Mensal]]</f>
        <v>20.523070041024017</v>
      </c>
      <c r="L6" s="1">
        <f>((SUMIF(tbEquipe[Mês],L$1,tbEquipe[Alocação])*Configuração!$D$14+SUM(tbRHI[%Aloc9])*Configuração!$D$15)/Configuração!$D$13)*tbRateio[[#This Row],[Custo Mensal]]</f>
        <v>20.523070041024017</v>
      </c>
      <c r="M6" s="1">
        <f>((SUMIF(tbEquipe[Mês],M$1,tbEquipe[Alocação])*Configuração!$D$14+SUM(tbRHI[%Aloc10])*Configuração!$D$15)/Configuração!$D$13)*tbRateio[[#This Row],[Custo Mensal]]</f>
        <v>20.523070041024017</v>
      </c>
      <c r="N6" s="1">
        <f>((SUMIF(tbEquipe[Mês],N$1,tbEquipe[Alocação])*Configuração!$D$14+SUM(tbRHI[%Aloc11])*Configuração!$D$15)/Configuração!$D$13)*tbRateio[[#This Row],[Custo Mensal]]</f>
        <v>20.523070041024017</v>
      </c>
      <c r="O6" s="1">
        <f>((SUMIF(tbEquipe[Mês],O$1,tbEquipe[Alocação])*Configuração!$D$14+SUM(tbRHI[%Aloc12])*Configuração!$D$15)/Configuração!$D$13)*tbRateio[[#This Row],[Custo Mensal]]</f>
        <v>20.523070041024017</v>
      </c>
      <c r="P6" s="1">
        <f>((SUMIF(tbEquipe[Mês],P$1,tbEquipe[Alocação])*Configuração!$D$14+SUM(tbRHI[%Aloc13])*Configuração!$D$15)/Configuração!$D$13)*tbRateio[[#This Row],[Custo Mensal]]</f>
        <v>0.99392861241318631</v>
      </c>
      <c r="Q6" s="1">
        <f>((SUMIF(tbEquipe[Mês],Q$1,tbEquipe[Alocação])*Configuração!$D$14+SUM(tbRHI[%Aloc14])*Configuração!$D$15)/Configuração!$D$13)*tbRateio[[#This Row],[Custo Mensal]]</f>
        <v>1.0059047546898925</v>
      </c>
      <c r="R6" s="1">
        <f>((SUMIF(tbEquipe[Mês],R$1,tbEquipe[Alocação])*Configuração!$D$14+SUM(tbRHI[%Aloc15])*Configuração!$D$15)/Configuração!$D$13)*tbRateio[[#This Row],[Custo Mensal]]</f>
        <v>1.0059047546898925</v>
      </c>
      <c r="S6" s="1">
        <f>((SUMIF(tbEquipe[Mês],S$1,tbEquipe[Alocação])*Configuração!$D$14+SUM(tbRHI[%Aloc16])*Configuração!$D$15)/Configuração!$D$13)*tbRateio[[#This Row],[Custo Mensal]]</f>
        <v>0</v>
      </c>
      <c r="T6" s="1">
        <f>((SUMIF(tbEquipe[Mês],T$1,tbEquipe[Alocação])*Configuração!$D$14+SUM(tbRHI[%Aloc17])*Configuração!$D$15)/Configuração!$D$13)*tbRateio[[#This Row],[Custo Mensal]]</f>
        <v>0</v>
      </c>
      <c r="U6" s="1">
        <f>((SUMIF(tbEquipe[Mês],U$1,tbEquipe[Alocação])*Configuração!$D$14+SUM(tbRHI[%Aloc18])*Configuração!$D$15)/Configuração!$D$13)*tbRateio[[#This Row],[Custo Mensal]]</f>
        <v>0</v>
      </c>
      <c r="V6" s="1">
        <f>((SUMIF(tbEquipe[Mês],V$1,tbEquipe[Alocação])*Configuração!$D$14+SUM(tbRHI[%Aloc19])*Configuração!$D$15)/Configuração!$D$13)*tbRateio[[#This Row],[Custo Mensal]]</f>
        <v>0</v>
      </c>
      <c r="W6" s="1">
        <f>((SUMIF(tbEquipe[Mês],W$1,tbEquipe[Alocação])*Configuração!$D$14+SUM(tbRHI[%Aloc20])*Configuração!$D$15)/Configuração!$D$13)*tbRateio[[#This Row],[Custo Mensal]]</f>
        <v>0</v>
      </c>
      <c r="X6" s="1">
        <f>((SUMIF(tbEquipe[Mês],X$1,tbEquipe[Alocação])*Configuração!$D$14+SUM(tbRHI[%Aloc21])*Configuração!$D$15)/Configuração!$D$13)*tbRateio[[#This Row],[Custo Mensal]]</f>
        <v>0</v>
      </c>
      <c r="Y6" s="1">
        <f>((SUMIF(tbEquipe[Mês],Y$1,tbEquipe[Alocação])*Configuração!$D$14+SUM(tbRHI[%Aloc22])*Configuração!$D$15)/Configuração!$D$13)*tbRateio[[#This Row],[Custo Mensal]]</f>
        <v>0</v>
      </c>
      <c r="Z6" s="1">
        <f>((SUMIF(tbEquipe[Mês],Z$1,tbEquipe[Alocação])*Configuração!$D$14+SUM(tbRHI[%Aloc23])*Configuração!$D$15)/Configuração!$D$13)*tbRateio[[#This Row],[Custo Mensal]]</f>
        <v>0</v>
      </c>
    </row>
    <row r="7" spans="1:26" x14ac:dyDescent="0.25">
      <c r="A7" t="s">
        <v>516</v>
      </c>
      <c r="B7" s="1">
        <v>19000</v>
      </c>
      <c r="C7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8454.8720851985308</v>
      </c>
      <c r="D7" s="1">
        <f>((SUMIF(tbEquipe[Mês],D$1,tbEquipe[Alocação])*Configuração!$D$14+SUM(tbRHI[%Aloc1])*Configuração!$D$15)/Configuração!$D$13)*tbRateio[[#This Row],[Custo Mensal]]</f>
        <v>693.38875861266274</v>
      </c>
      <c r="E7" s="1">
        <f>((SUMIF(tbEquipe[Mês],E$1,tbEquipe[Alocação])*Configuração!$D$14+SUM(tbRHI[%Aloc2])*Configuração!$D$15)/Configuração!$D$13)*tbRateio[[#This Row],[Custo Mensal]]</f>
        <v>696.31844782045766</v>
      </c>
      <c r="F7" s="1">
        <f>((SUMIF(tbEquipe[Mês],F$1,tbEquipe[Alocação])*Configuração!$D$14+SUM(tbRHI[%Aloc3])*Configuração!$D$15)/Configuração!$D$13)*tbRateio[[#This Row],[Custo Mensal]]</f>
        <v>696.31844782045766</v>
      </c>
      <c r="G7" s="1">
        <f>((SUMIF(tbEquipe[Mês],G$1,tbEquipe[Alocação])*Configuração!$D$14+SUM(tbRHI[%Aloc4])*Configuração!$D$15)/Configuração!$D$13)*tbRateio[[#This Row],[Custo Mensal]]</f>
        <v>696.31844782045766</v>
      </c>
      <c r="H7" s="1">
        <f>((SUMIF(tbEquipe[Mês],H$1,tbEquipe[Alocação])*Configuração!$D$14+SUM(tbRHI[%Aloc5])*Configuração!$D$15)/Configuração!$D$13)*tbRateio[[#This Row],[Custo Mensal]]</f>
        <v>696.31844782045766</v>
      </c>
      <c r="I7" s="1">
        <f>((SUMIF(tbEquipe[Mês],I$1,tbEquipe[Alocação])*Configuração!$D$14+SUM(tbRHI[%Aloc6])*Configuração!$D$15)/Configuração!$D$13)*tbRateio[[#This Row],[Custo Mensal]]</f>
        <v>696.31844782045766</v>
      </c>
      <c r="J7" s="1">
        <f>((SUMIF(tbEquipe[Mês],J$1,tbEquipe[Alocação])*Configuração!$D$14+SUM(tbRHI[%Aloc7])*Configuração!$D$15)/Configuração!$D$13)*tbRateio[[#This Row],[Custo Mensal]]</f>
        <v>696.31844782045766</v>
      </c>
      <c r="K7" s="1">
        <f>((SUMIF(tbEquipe[Mês],K$1,tbEquipe[Alocação])*Configuração!$D$14+SUM(tbRHI[%Aloc8])*Configuração!$D$15)/Configuração!$D$13)*tbRateio[[#This Row],[Custo Mensal]]</f>
        <v>696.31844782045766</v>
      </c>
      <c r="L7" s="1">
        <f>((SUMIF(tbEquipe[Mês],L$1,tbEquipe[Alocação])*Configuração!$D$14+SUM(tbRHI[%Aloc9])*Configuração!$D$15)/Configuração!$D$13)*tbRateio[[#This Row],[Custo Mensal]]</f>
        <v>696.31844782045766</v>
      </c>
      <c r="M7" s="1">
        <f>((SUMIF(tbEquipe[Mês],M$1,tbEquipe[Alocação])*Configuração!$D$14+SUM(tbRHI[%Aloc10])*Configuração!$D$15)/Configuração!$D$13)*tbRateio[[#This Row],[Custo Mensal]]</f>
        <v>696.31844782045766</v>
      </c>
      <c r="N7" s="1">
        <f>((SUMIF(tbEquipe[Mês],N$1,tbEquipe[Alocação])*Configuração!$D$14+SUM(tbRHI[%Aloc11])*Configuração!$D$15)/Configuração!$D$13)*tbRateio[[#This Row],[Custo Mensal]]</f>
        <v>696.31844782045766</v>
      </c>
      <c r="O7" s="1">
        <f>((SUMIF(tbEquipe[Mês],O$1,tbEquipe[Alocação])*Configuração!$D$14+SUM(tbRHI[%Aloc12])*Configuração!$D$15)/Configuração!$D$13)*tbRateio[[#This Row],[Custo Mensal]]</f>
        <v>696.31844782045766</v>
      </c>
      <c r="P7" s="1">
        <f>((SUMIF(tbEquipe[Mês],P$1,tbEquipe[Alocação])*Configuração!$D$14+SUM(tbRHI[%Aloc13])*Configuração!$D$15)/Configuração!$D$13)*tbRateio[[#This Row],[Custo Mensal]]</f>
        <v>33.72257792116168</v>
      </c>
      <c r="Q7" s="1">
        <f>((SUMIF(tbEquipe[Mês],Q$1,tbEquipe[Alocação])*Configuração!$D$14+SUM(tbRHI[%Aloc14])*Configuração!$D$15)/Configuração!$D$13)*tbRateio[[#This Row],[Custo Mensal]]</f>
        <v>34.128911319835645</v>
      </c>
      <c r="R7" s="1">
        <f>((SUMIF(tbEquipe[Mês],R$1,tbEquipe[Alocação])*Configuração!$D$14+SUM(tbRHI[%Aloc15])*Configuração!$D$15)/Configuração!$D$13)*tbRateio[[#This Row],[Custo Mensal]]</f>
        <v>34.128911319835645</v>
      </c>
      <c r="S7" s="1">
        <f>((SUMIF(tbEquipe[Mês],S$1,tbEquipe[Alocação])*Configuração!$D$14+SUM(tbRHI[%Aloc16])*Configuração!$D$15)/Configuração!$D$13)*tbRateio[[#This Row],[Custo Mensal]]</f>
        <v>0</v>
      </c>
      <c r="T7" s="1">
        <f>((SUMIF(tbEquipe[Mês],T$1,tbEquipe[Alocação])*Configuração!$D$14+SUM(tbRHI[%Aloc17])*Configuração!$D$15)/Configuração!$D$13)*tbRateio[[#This Row],[Custo Mensal]]</f>
        <v>0</v>
      </c>
      <c r="U7" s="1">
        <f>((SUMIF(tbEquipe[Mês],U$1,tbEquipe[Alocação])*Configuração!$D$14+SUM(tbRHI[%Aloc18])*Configuração!$D$15)/Configuração!$D$13)*tbRateio[[#This Row],[Custo Mensal]]</f>
        <v>0</v>
      </c>
      <c r="V7" s="1">
        <f>((SUMIF(tbEquipe[Mês],V$1,tbEquipe[Alocação])*Configuração!$D$14+SUM(tbRHI[%Aloc19])*Configuração!$D$15)/Configuração!$D$13)*tbRateio[[#This Row],[Custo Mensal]]</f>
        <v>0</v>
      </c>
      <c r="W7" s="1">
        <f>((SUMIF(tbEquipe[Mês],W$1,tbEquipe[Alocação])*Configuração!$D$14+SUM(tbRHI[%Aloc20])*Configuração!$D$15)/Configuração!$D$13)*tbRateio[[#This Row],[Custo Mensal]]</f>
        <v>0</v>
      </c>
      <c r="X7" s="1">
        <f>((SUMIF(tbEquipe[Mês],X$1,tbEquipe[Alocação])*Configuração!$D$14+SUM(tbRHI[%Aloc21])*Configuração!$D$15)/Configuração!$D$13)*tbRateio[[#This Row],[Custo Mensal]]</f>
        <v>0</v>
      </c>
      <c r="Y7" s="1">
        <f>((SUMIF(tbEquipe[Mês],Y$1,tbEquipe[Alocação])*Configuração!$D$14+SUM(tbRHI[%Aloc22])*Configuração!$D$15)/Configuração!$D$13)*tbRateio[[#This Row],[Custo Mensal]]</f>
        <v>0</v>
      </c>
      <c r="Z7" s="1">
        <f>((SUMIF(tbEquipe[Mês],Z$1,tbEquipe[Alocação])*Configuração!$D$14+SUM(tbRHI[%Aloc23])*Configuração!$D$15)/Configuração!$D$13)*tbRateio[[#This Row],[Custo Mensal]]</f>
        <v>0</v>
      </c>
    </row>
    <row r="8" spans="1:26" x14ac:dyDescent="0.25">
      <c r="A8" t="s">
        <v>517</v>
      </c>
      <c r="B8" s="1">
        <v>32000</v>
      </c>
      <c r="C8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14239.784564544891</v>
      </c>
      <c r="D8" s="1">
        <f>((SUMIF(tbEquipe[Mês],D$1,tbEquipe[Alocação])*Configuração!$D$14+SUM(tbRHI[%Aloc1])*Configuração!$D$15)/Configuração!$D$13)*tbRateio[[#This Row],[Custo Mensal]]</f>
        <v>1167.8126460844846</v>
      </c>
      <c r="E8" s="1">
        <f>((SUMIF(tbEquipe[Mês],E$1,tbEquipe[Alocação])*Configuração!$D$14+SUM(tbRHI[%Aloc2])*Configuração!$D$15)/Configuração!$D$13)*tbRateio[[#This Row],[Custo Mensal]]</f>
        <v>1172.7468594870866</v>
      </c>
      <c r="F8" s="1">
        <f>((SUMIF(tbEquipe[Mês],F$1,tbEquipe[Alocação])*Configuração!$D$14+SUM(tbRHI[%Aloc3])*Configuração!$D$15)/Configuração!$D$13)*tbRateio[[#This Row],[Custo Mensal]]</f>
        <v>1172.7468594870866</v>
      </c>
      <c r="G8" s="1">
        <f>((SUMIF(tbEquipe[Mês],G$1,tbEquipe[Alocação])*Configuração!$D$14+SUM(tbRHI[%Aloc4])*Configuração!$D$15)/Configuração!$D$13)*tbRateio[[#This Row],[Custo Mensal]]</f>
        <v>1172.7468594870866</v>
      </c>
      <c r="H8" s="1">
        <f>((SUMIF(tbEquipe[Mês],H$1,tbEquipe[Alocação])*Configuração!$D$14+SUM(tbRHI[%Aloc5])*Configuração!$D$15)/Configuração!$D$13)*tbRateio[[#This Row],[Custo Mensal]]</f>
        <v>1172.7468594870866</v>
      </c>
      <c r="I8" s="1">
        <f>((SUMIF(tbEquipe[Mês],I$1,tbEquipe[Alocação])*Configuração!$D$14+SUM(tbRHI[%Aloc6])*Configuração!$D$15)/Configuração!$D$13)*tbRateio[[#This Row],[Custo Mensal]]</f>
        <v>1172.7468594870866</v>
      </c>
      <c r="J8" s="1">
        <f>((SUMIF(tbEquipe[Mês],J$1,tbEquipe[Alocação])*Configuração!$D$14+SUM(tbRHI[%Aloc7])*Configuração!$D$15)/Configuração!$D$13)*tbRateio[[#This Row],[Custo Mensal]]</f>
        <v>1172.7468594870866</v>
      </c>
      <c r="K8" s="1">
        <f>((SUMIF(tbEquipe[Mês],K$1,tbEquipe[Alocação])*Configuração!$D$14+SUM(tbRHI[%Aloc8])*Configuração!$D$15)/Configuração!$D$13)*tbRateio[[#This Row],[Custo Mensal]]</f>
        <v>1172.7468594870866</v>
      </c>
      <c r="L8" s="1">
        <f>((SUMIF(tbEquipe[Mês],L$1,tbEquipe[Alocação])*Configuração!$D$14+SUM(tbRHI[%Aloc9])*Configuração!$D$15)/Configuração!$D$13)*tbRateio[[#This Row],[Custo Mensal]]</f>
        <v>1172.7468594870866</v>
      </c>
      <c r="M8" s="1">
        <f>((SUMIF(tbEquipe[Mês],M$1,tbEquipe[Alocação])*Configuração!$D$14+SUM(tbRHI[%Aloc10])*Configuração!$D$15)/Configuração!$D$13)*tbRateio[[#This Row],[Custo Mensal]]</f>
        <v>1172.7468594870866</v>
      </c>
      <c r="N8" s="1">
        <f>((SUMIF(tbEquipe[Mês],N$1,tbEquipe[Alocação])*Configuração!$D$14+SUM(tbRHI[%Aloc11])*Configuração!$D$15)/Configuração!$D$13)*tbRateio[[#This Row],[Custo Mensal]]</f>
        <v>1172.7468594870866</v>
      </c>
      <c r="O8" s="1">
        <f>((SUMIF(tbEquipe[Mês],O$1,tbEquipe[Alocação])*Configuração!$D$14+SUM(tbRHI[%Aloc12])*Configuração!$D$15)/Configuração!$D$13)*tbRateio[[#This Row],[Custo Mensal]]</f>
        <v>1172.7468594870866</v>
      </c>
      <c r="P8" s="1">
        <f>((SUMIF(tbEquipe[Mês],P$1,tbEquipe[Alocação])*Configuração!$D$14+SUM(tbRHI[%Aloc13])*Configuração!$D$15)/Configuração!$D$13)*tbRateio[[#This Row],[Custo Mensal]]</f>
        <v>56.795920709324932</v>
      </c>
      <c r="Q8" s="1">
        <f>((SUMIF(tbEquipe[Mês],Q$1,tbEquipe[Alocação])*Configuração!$D$14+SUM(tbRHI[%Aloc14])*Configuração!$D$15)/Configuração!$D$13)*tbRateio[[#This Row],[Custo Mensal]]</f>
        <v>57.480271696565289</v>
      </c>
      <c r="R8" s="1">
        <f>((SUMIF(tbEquipe[Mês],R$1,tbEquipe[Alocação])*Configuração!$D$14+SUM(tbRHI[%Aloc15])*Configuração!$D$15)/Configuração!$D$13)*tbRateio[[#This Row],[Custo Mensal]]</f>
        <v>57.480271696565289</v>
      </c>
      <c r="S8" s="1">
        <f>((SUMIF(tbEquipe[Mês],S$1,tbEquipe[Alocação])*Configuração!$D$14+SUM(tbRHI[%Aloc16])*Configuração!$D$15)/Configuração!$D$13)*tbRateio[[#This Row],[Custo Mensal]]</f>
        <v>0</v>
      </c>
      <c r="T8" s="1">
        <f>((SUMIF(tbEquipe[Mês],T$1,tbEquipe[Alocação])*Configuração!$D$14+SUM(tbRHI[%Aloc17])*Configuração!$D$15)/Configuração!$D$13)*tbRateio[[#This Row],[Custo Mensal]]</f>
        <v>0</v>
      </c>
      <c r="U8" s="1">
        <f>((SUMIF(tbEquipe[Mês],U$1,tbEquipe[Alocação])*Configuração!$D$14+SUM(tbRHI[%Aloc18])*Configuração!$D$15)/Configuração!$D$13)*tbRateio[[#This Row],[Custo Mensal]]</f>
        <v>0</v>
      </c>
      <c r="V8" s="1">
        <f>((SUMIF(tbEquipe[Mês],V$1,tbEquipe[Alocação])*Configuração!$D$14+SUM(tbRHI[%Aloc19])*Configuração!$D$15)/Configuração!$D$13)*tbRateio[[#This Row],[Custo Mensal]]</f>
        <v>0</v>
      </c>
      <c r="W8" s="1">
        <f>((SUMIF(tbEquipe[Mês],W$1,tbEquipe[Alocação])*Configuração!$D$14+SUM(tbRHI[%Aloc20])*Configuração!$D$15)/Configuração!$D$13)*tbRateio[[#This Row],[Custo Mensal]]</f>
        <v>0</v>
      </c>
      <c r="X8" s="1">
        <f>((SUMIF(tbEquipe[Mês],X$1,tbEquipe[Alocação])*Configuração!$D$14+SUM(tbRHI[%Aloc21])*Configuração!$D$15)/Configuração!$D$13)*tbRateio[[#This Row],[Custo Mensal]]</f>
        <v>0</v>
      </c>
      <c r="Y8" s="1">
        <f>((SUMIF(tbEquipe[Mês],Y$1,tbEquipe[Alocação])*Configuração!$D$14+SUM(tbRHI[%Aloc22])*Configuração!$D$15)/Configuração!$D$13)*tbRateio[[#This Row],[Custo Mensal]]</f>
        <v>0</v>
      </c>
      <c r="Z8" s="1">
        <f>((SUMIF(tbEquipe[Mês],Z$1,tbEquipe[Alocação])*Configuração!$D$14+SUM(tbRHI[%Aloc23])*Configuração!$D$15)/Configuração!$D$13)*tbRateio[[#This Row],[Custo Mensal]]</f>
        <v>0</v>
      </c>
    </row>
    <row r="9" spans="1:26" x14ac:dyDescent="0.25">
      <c r="A9" t="s">
        <v>518</v>
      </c>
      <c r="B9" s="1">
        <v>6000</v>
      </c>
      <c r="C9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2669.9596058521679</v>
      </c>
      <c r="D9" s="1">
        <f>((SUMIF(tbEquipe[Mês],D$1,tbEquipe[Alocação])*Configuração!$D$14+SUM(tbRHI[%Aloc1])*Configuração!$D$15)/Configuração!$D$13)*tbRateio[[#This Row],[Custo Mensal]]</f>
        <v>218.96487114084087</v>
      </c>
      <c r="E9" s="1">
        <f>((SUMIF(tbEquipe[Mês],E$1,tbEquipe[Alocação])*Configuração!$D$14+SUM(tbRHI[%Aloc2])*Configuração!$D$15)/Configuração!$D$13)*tbRateio[[#This Row],[Custo Mensal]]</f>
        <v>219.89003615382876</v>
      </c>
      <c r="F9" s="1">
        <f>((SUMIF(tbEquipe[Mês],F$1,tbEquipe[Alocação])*Configuração!$D$14+SUM(tbRHI[%Aloc3])*Configuração!$D$15)/Configuração!$D$13)*tbRateio[[#This Row],[Custo Mensal]]</f>
        <v>219.89003615382876</v>
      </c>
      <c r="G9" s="1">
        <f>((SUMIF(tbEquipe[Mês],G$1,tbEquipe[Alocação])*Configuração!$D$14+SUM(tbRHI[%Aloc4])*Configuração!$D$15)/Configuração!$D$13)*tbRateio[[#This Row],[Custo Mensal]]</f>
        <v>219.89003615382876</v>
      </c>
      <c r="H9" s="1">
        <f>((SUMIF(tbEquipe[Mês],H$1,tbEquipe[Alocação])*Configuração!$D$14+SUM(tbRHI[%Aloc5])*Configuração!$D$15)/Configuração!$D$13)*tbRateio[[#This Row],[Custo Mensal]]</f>
        <v>219.89003615382876</v>
      </c>
      <c r="I9" s="1">
        <f>((SUMIF(tbEquipe[Mês],I$1,tbEquipe[Alocação])*Configuração!$D$14+SUM(tbRHI[%Aloc6])*Configuração!$D$15)/Configuração!$D$13)*tbRateio[[#This Row],[Custo Mensal]]</f>
        <v>219.89003615382876</v>
      </c>
      <c r="J9" s="1">
        <f>((SUMIF(tbEquipe[Mês],J$1,tbEquipe[Alocação])*Configuração!$D$14+SUM(tbRHI[%Aloc7])*Configuração!$D$15)/Configuração!$D$13)*tbRateio[[#This Row],[Custo Mensal]]</f>
        <v>219.89003615382876</v>
      </c>
      <c r="K9" s="1">
        <f>((SUMIF(tbEquipe[Mês],K$1,tbEquipe[Alocação])*Configuração!$D$14+SUM(tbRHI[%Aloc8])*Configuração!$D$15)/Configuração!$D$13)*tbRateio[[#This Row],[Custo Mensal]]</f>
        <v>219.89003615382876</v>
      </c>
      <c r="L9" s="1">
        <f>((SUMIF(tbEquipe[Mês],L$1,tbEquipe[Alocação])*Configuração!$D$14+SUM(tbRHI[%Aloc9])*Configuração!$D$15)/Configuração!$D$13)*tbRateio[[#This Row],[Custo Mensal]]</f>
        <v>219.89003615382876</v>
      </c>
      <c r="M9" s="1">
        <f>((SUMIF(tbEquipe[Mês],M$1,tbEquipe[Alocação])*Configuração!$D$14+SUM(tbRHI[%Aloc10])*Configuração!$D$15)/Configuração!$D$13)*tbRateio[[#This Row],[Custo Mensal]]</f>
        <v>219.89003615382876</v>
      </c>
      <c r="N9" s="1">
        <f>((SUMIF(tbEquipe[Mês],N$1,tbEquipe[Alocação])*Configuração!$D$14+SUM(tbRHI[%Aloc11])*Configuração!$D$15)/Configuração!$D$13)*tbRateio[[#This Row],[Custo Mensal]]</f>
        <v>219.89003615382876</v>
      </c>
      <c r="O9" s="1">
        <f>((SUMIF(tbEquipe[Mês],O$1,tbEquipe[Alocação])*Configuração!$D$14+SUM(tbRHI[%Aloc12])*Configuração!$D$15)/Configuração!$D$13)*tbRateio[[#This Row],[Custo Mensal]]</f>
        <v>219.89003615382876</v>
      </c>
      <c r="P9" s="1">
        <f>((SUMIF(tbEquipe[Mês],P$1,tbEquipe[Alocação])*Configuração!$D$14+SUM(tbRHI[%Aloc13])*Configuração!$D$15)/Configuração!$D$13)*tbRateio[[#This Row],[Custo Mensal]]</f>
        <v>10.649235132998424</v>
      </c>
      <c r="Q9" s="1">
        <f>((SUMIF(tbEquipe[Mês],Q$1,tbEquipe[Alocação])*Configuração!$D$14+SUM(tbRHI[%Aloc14])*Configuração!$D$15)/Configuração!$D$13)*tbRateio[[#This Row],[Custo Mensal]]</f>
        <v>10.777550943105991</v>
      </c>
      <c r="R9" s="1">
        <f>((SUMIF(tbEquipe[Mês],R$1,tbEquipe[Alocação])*Configuração!$D$14+SUM(tbRHI[%Aloc15])*Configuração!$D$15)/Configuração!$D$13)*tbRateio[[#This Row],[Custo Mensal]]</f>
        <v>10.777550943105991</v>
      </c>
      <c r="S9" s="1">
        <f>((SUMIF(tbEquipe[Mês],S$1,tbEquipe[Alocação])*Configuração!$D$14+SUM(tbRHI[%Aloc16])*Configuração!$D$15)/Configuração!$D$13)*tbRateio[[#This Row],[Custo Mensal]]</f>
        <v>0</v>
      </c>
      <c r="T9" s="1">
        <f>((SUMIF(tbEquipe[Mês],T$1,tbEquipe[Alocação])*Configuração!$D$14+SUM(tbRHI[%Aloc17])*Configuração!$D$15)/Configuração!$D$13)*tbRateio[[#This Row],[Custo Mensal]]</f>
        <v>0</v>
      </c>
      <c r="U9" s="1">
        <f>((SUMIF(tbEquipe[Mês],U$1,tbEquipe[Alocação])*Configuração!$D$14+SUM(tbRHI[%Aloc18])*Configuração!$D$15)/Configuração!$D$13)*tbRateio[[#This Row],[Custo Mensal]]</f>
        <v>0</v>
      </c>
      <c r="V9" s="1">
        <f>((SUMIF(tbEquipe[Mês],V$1,tbEquipe[Alocação])*Configuração!$D$14+SUM(tbRHI[%Aloc19])*Configuração!$D$15)/Configuração!$D$13)*tbRateio[[#This Row],[Custo Mensal]]</f>
        <v>0</v>
      </c>
      <c r="W9" s="1">
        <f>((SUMIF(tbEquipe[Mês],W$1,tbEquipe[Alocação])*Configuração!$D$14+SUM(tbRHI[%Aloc20])*Configuração!$D$15)/Configuração!$D$13)*tbRateio[[#This Row],[Custo Mensal]]</f>
        <v>0</v>
      </c>
      <c r="X9" s="1">
        <f>((SUMIF(tbEquipe[Mês],X$1,tbEquipe[Alocação])*Configuração!$D$14+SUM(tbRHI[%Aloc21])*Configuração!$D$15)/Configuração!$D$13)*tbRateio[[#This Row],[Custo Mensal]]</f>
        <v>0</v>
      </c>
      <c r="Y9" s="1">
        <f>((SUMIF(tbEquipe[Mês],Y$1,tbEquipe[Alocação])*Configuração!$D$14+SUM(tbRHI[%Aloc22])*Configuração!$D$15)/Configuração!$D$13)*tbRateio[[#This Row],[Custo Mensal]]</f>
        <v>0</v>
      </c>
      <c r="Z9" s="1">
        <f>((SUMIF(tbEquipe[Mês],Z$1,tbEquipe[Alocação])*Configuração!$D$14+SUM(tbRHI[%Aloc23])*Configuração!$D$15)/Configuração!$D$13)*tbRateio[[#This Row],[Custo Mensal]]</f>
        <v>0</v>
      </c>
    </row>
    <row r="10" spans="1:26" x14ac:dyDescent="0.25">
      <c r="A10" t="s">
        <v>519</v>
      </c>
      <c r="B10" s="1">
        <v>10000</v>
      </c>
      <c r="C10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4449.9326764202788</v>
      </c>
      <c r="D10" s="1">
        <f>((SUMIF(tbEquipe[Mês],D$1,tbEquipe[Alocação])*Configuração!$D$14+SUM(tbRHI[%Aloc1])*Configuração!$D$15)/Configuração!$D$13)*tbRateio[[#This Row],[Custo Mensal]]</f>
        <v>364.94145190140148</v>
      </c>
      <c r="E10" s="1">
        <f>((SUMIF(tbEquipe[Mês],E$1,tbEquipe[Alocação])*Configuração!$D$14+SUM(tbRHI[%Aloc2])*Configuração!$D$15)/Configuração!$D$13)*tbRateio[[#This Row],[Custo Mensal]]</f>
        <v>366.48339358971458</v>
      </c>
      <c r="F10" s="1">
        <f>((SUMIF(tbEquipe[Mês],F$1,tbEquipe[Alocação])*Configuração!$D$14+SUM(tbRHI[%Aloc3])*Configuração!$D$15)/Configuração!$D$13)*tbRateio[[#This Row],[Custo Mensal]]</f>
        <v>366.48339358971458</v>
      </c>
      <c r="G10" s="1">
        <f>((SUMIF(tbEquipe[Mês],G$1,tbEquipe[Alocação])*Configuração!$D$14+SUM(tbRHI[%Aloc4])*Configuração!$D$15)/Configuração!$D$13)*tbRateio[[#This Row],[Custo Mensal]]</f>
        <v>366.48339358971458</v>
      </c>
      <c r="H10" s="1">
        <f>((SUMIF(tbEquipe[Mês],H$1,tbEquipe[Alocação])*Configuração!$D$14+SUM(tbRHI[%Aloc5])*Configuração!$D$15)/Configuração!$D$13)*tbRateio[[#This Row],[Custo Mensal]]</f>
        <v>366.48339358971458</v>
      </c>
      <c r="I10" s="1">
        <f>((SUMIF(tbEquipe[Mês],I$1,tbEquipe[Alocação])*Configuração!$D$14+SUM(tbRHI[%Aloc6])*Configuração!$D$15)/Configuração!$D$13)*tbRateio[[#This Row],[Custo Mensal]]</f>
        <v>366.48339358971458</v>
      </c>
      <c r="J10" s="1">
        <f>((SUMIF(tbEquipe[Mês],J$1,tbEquipe[Alocação])*Configuração!$D$14+SUM(tbRHI[%Aloc7])*Configuração!$D$15)/Configuração!$D$13)*tbRateio[[#This Row],[Custo Mensal]]</f>
        <v>366.48339358971458</v>
      </c>
      <c r="K10" s="1">
        <f>((SUMIF(tbEquipe[Mês],K$1,tbEquipe[Alocação])*Configuração!$D$14+SUM(tbRHI[%Aloc8])*Configuração!$D$15)/Configuração!$D$13)*tbRateio[[#This Row],[Custo Mensal]]</f>
        <v>366.48339358971458</v>
      </c>
      <c r="L10" s="1">
        <f>((SUMIF(tbEquipe[Mês],L$1,tbEquipe[Alocação])*Configuração!$D$14+SUM(tbRHI[%Aloc9])*Configuração!$D$15)/Configuração!$D$13)*tbRateio[[#This Row],[Custo Mensal]]</f>
        <v>366.48339358971458</v>
      </c>
      <c r="M10" s="1">
        <f>((SUMIF(tbEquipe[Mês],M$1,tbEquipe[Alocação])*Configuração!$D$14+SUM(tbRHI[%Aloc10])*Configuração!$D$15)/Configuração!$D$13)*tbRateio[[#This Row],[Custo Mensal]]</f>
        <v>366.48339358971458</v>
      </c>
      <c r="N10" s="1">
        <f>((SUMIF(tbEquipe[Mês],N$1,tbEquipe[Alocação])*Configuração!$D$14+SUM(tbRHI[%Aloc11])*Configuração!$D$15)/Configuração!$D$13)*tbRateio[[#This Row],[Custo Mensal]]</f>
        <v>366.48339358971458</v>
      </c>
      <c r="O10" s="1">
        <f>((SUMIF(tbEquipe[Mês],O$1,tbEquipe[Alocação])*Configuração!$D$14+SUM(tbRHI[%Aloc12])*Configuração!$D$15)/Configuração!$D$13)*tbRateio[[#This Row],[Custo Mensal]]</f>
        <v>366.48339358971458</v>
      </c>
      <c r="P10" s="1">
        <f>((SUMIF(tbEquipe[Mês],P$1,tbEquipe[Alocação])*Configuração!$D$14+SUM(tbRHI[%Aloc13])*Configuração!$D$15)/Configuração!$D$13)*tbRateio[[#This Row],[Custo Mensal]]</f>
        <v>17.748725221664042</v>
      </c>
      <c r="Q10" s="1">
        <f>((SUMIF(tbEquipe[Mês],Q$1,tbEquipe[Alocação])*Configuração!$D$14+SUM(tbRHI[%Aloc14])*Configuração!$D$15)/Configuração!$D$13)*tbRateio[[#This Row],[Custo Mensal]]</f>
        <v>17.962584905176655</v>
      </c>
      <c r="R10" s="1">
        <f>((SUMIF(tbEquipe[Mês],R$1,tbEquipe[Alocação])*Configuração!$D$14+SUM(tbRHI[%Aloc15])*Configuração!$D$15)/Configuração!$D$13)*tbRateio[[#This Row],[Custo Mensal]]</f>
        <v>17.962584905176655</v>
      </c>
      <c r="S10" s="1">
        <f>((SUMIF(tbEquipe[Mês],S$1,tbEquipe[Alocação])*Configuração!$D$14+SUM(tbRHI[%Aloc16])*Configuração!$D$15)/Configuração!$D$13)*tbRateio[[#This Row],[Custo Mensal]]</f>
        <v>0</v>
      </c>
      <c r="T10" s="1">
        <f>((SUMIF(tbEquipe[Mês],T$1,tbEquipe[Alocação])*Configuração!$D$14+SUM(tbRHI[%Aloc17])*Configuração!$D$15)/Configuração!$D$13)*tbRateio[[#This Row],[Custo Mensal]]</f>
        <v>0</v>
      </c>
      <c r="U10" s="1">
        <f>((SUMIF(tbEquipe[Mês],U$1,tbEquipe[Alocação])*Configuração!$D$14+SUM(tbRHI[%Aloc18])*Configuração!$D$15)/Configuração!$D$13)*tbRateio[[#This Row],[Custo Mensal]]</f>
        <v>0</v>
      </c>
      <c r="V10" s="1">
        <f>((SUMIF(tbEquipe[Mês],V$1,tbEquipe[Alocação])*Configuração!$D$14+SUM(tbRHI[%Aloc19])*Configuração!$D$15)/Configuração!$D$13)*tbRateio[[#This Row],[Custo Mensal]]</f>
        <v>0</v>
      </c>
      <c r="W10" s="1">
        <f>((SUMIF(tbEquipe[Mês],W$1,tbEquipe[Alocação])*Configuração!$D$14+SUM(tbRHI[%Aloc20])*Configuração!$D$15)/Configuração!$D$13)*tbRateio[[#This Row],[Custo Mensal]]</f>
        <v>0</v>
      </c>
      <c r="X10" s="1">
        <f>((SUMIF(tbEquipe[Mês],X$1,tbEquipe[Alocação])*Configuração!$D$14+SUM(tbRHI[%Aloc21])*Configuração!$D$15)/Configuração!$D$13)*tbRateio[[#This Row],[Custo Mensal]]</f>
        <v>0</v>
      </c>
      <c r="Y10" s="1">
        <f>((SUMIF(tbEquipe[Mês],Y$1,tbEquipe[Alocação])*Configuração!$D$14+SUM(tbRHI[%Aloc22])*Configuração!$D$15)/Configuração!$D$13)*tbRateio[[#This Row],[Custo Mensal]]</f>
        <v>0</v>
      </c>
      <c r="Z10" s="1">
        <f>((SUMIF(tbEquipe[Mês],Z$1,tbEquipe[Alocação])*Configuração!$D$14+SUM(tbRHI[%Aloc23])*Configuração!$D$15)/Configuração!$D$13)*tbRateio[[#This Row],[Custo Mensal]]</f>
        <v>0</v>
      </c>
    </row>
    <row r="11" spans="1:26" s="67" customFormat="1" ht="45" x14ac:dyDescent="0.25">
      <c r="A11" s="79" t="s">
        <v>520</v>
      </c>
      <c r="B11" s="80">
        <v>34494.269999999997</v>
      </c>
      <c r="C11" s="80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15349.717922226379</v>
      </c>
      <c r="D11" s="80">
        <f>((SUMIF(tbEquipe[Mês],D$1,tbEquipe[Alocação])*Configuração!$D$14+SUM(tbRHI[%Aloc1])*Configuração!$D$15)/Configuração!$D$13)*tbRateio[[#This Row],[Custo Mensal]]</f>
        <v>1258.8388976078954</v>
      </c>
      <c r="E11" s="80">
        <f>((SUMIF(tbEquipe[Mês],E$1,tbEquipe[Alocação])*Configuração!$D$14+SUM(tbRHI[%Aloc2])*Configuração!$D$15)/Configuração!$D$13)*tbRateio[[#This Row],[Custo Mensal]]</f>
        <v>1264.1577128999884</v>
      </c>
      <c r="F11" s="80">
        <f>((SUMIF(tbEquipe[Mês],F$1,tbEquipe[Alocação])*Configuração!$D$14+SUM(tbRHI[%Aloc3])*Configuração!$D$15)/Configuração!$D$13)*tbRateio[[#This Row],[Custo Mensal]]</f>
        <v>1264.1577128999884</v>
      </c>
      <c r="G11" s="80">
        <f>((SUMIF(tbEquipe[Mês],G$1,tbEquipe[Alocação])*Configuração!$D$14+SUM(tbRHI[%Aloc4])*Configuração!$D$15)/Configuração!$D$13)*tbRateio[[#This Row],[Custo Mensal]]</f>
        <v>1264.1577128999884</v>
      </c>
      <c r="H11" s="80">
        <f>((SUMIF(tbEquipe[Mês],H$1,tbEquipe[Alocação])*Configuração!$D$14+SUM(tbRHI[%Aloc5])*Configuração!$D$15)/Configuração!$D$13)*tbRateio[[#This Row],[Custo Mensal]]</f>
        <v>1264.1577128999884</v>
      </c>
      <c r="I11" s="80">
        <f>((SUMIF(tbEquipe[Mês],I$1,tbEquipe[Alocação])*Configuração!$D$14+SUM(tbRHI[%Aloc6])*Configuração!$D$15)/Configuração!$D$13)*tbRateio[[#This Row],[Custo Mensal]]</f>
        <v>1264.1577128999884</v>
      </c>
      <c r="J11" s="80">
        <f>((SUMIF(tbEquipe[Mês],J$1,tbEquipe[Alocação])*Configuração!$D$14+SUM(tbRHI[%Aloc7])*Configuração!$D$15)/Configuração!$D$13)*tbRateio[[#This Row],[Custo Mensal]]</f>
        <v>1264.1577128999884</v>
      </c>
      <c r="K11" s="80">
        <f>((SUMIF(tbEquipe[Mês],K$1,tbEquipe[Alocação])*Configuração!$D$14+SUM(tbRHI[%Aloc8])*Configuração!$D$15)/Configuração!$D$13)*tbRateio[[#This Row],[Custo Mensal]]</f>
        <v>1264.1577128999884</v>
      </c>
      <c r="L11" s="80">
        <f>((SUMIF(tbEquipe[Mês],L$1,tbEquipe[Alocação])*Configuração!$D$14+SUM(tbRHI[%Aloc9])*Configuração!$D$15)/Configuração!$D$13)*tbRateio[[#This Row],[Custo Mensal]]</f>
        <v>1264.1577128999884</v>
      </c>
      <c r="M11" s="80">
        <f>((SUMIF(tbEquipe[Mês],M$1,tbEquipe[Alocação])*Configuração!$D$14+SUM(tbRHI[%Aloc10])*Configuração!$D$15)/Configuração!$D$13)*tbRateio[[#This Row],[Custo Mensal]]</f>
        <v>1264.1577128999884</v>
      </c>
      <c r="N11" s="80">
        <f>((SUMIF(tbEquipe[Mês],N$1,tbEquipe[Alocação])*Configuração!$D$14+SUM(tbRHI[%Aloc11])*Configuração!$D$15)/Configuração!$D$13)*tbRateio[[#This Row],[Custo Mensal]]</f>
        <v>1264.1577128999884</v>
      </c>
      <c r="O11" s="80">
        <f>((SUMIF(tbEquipe[Mês],O$1,tbEquipe[Alocação])*Configuração!$D$14+SUM(tbRHI[%Aloc12])*Configuração!$D$15)/Configuração!$D$13)*tbRateio[[#This Row],[Custo Mensal]]</f>
        <v>1264.1577128999884</v>
      </c>
      <c r="P11" s="80">
        <f>((SUMIF(tbEquipe[Mês],P$1,tbEquipe[Alocação])*Configuração!$D$14+SUM(tbRHI[%Aloc13])*Configuração!$D$15)/Configuração!$D$13)*tbRateio[[#This Row],[Custo Mensal]]</f>
        <v>61.222931995188922</v>
      </c>
      <c r="Q11" s="80">
        <f>((SUMIF(tbEquipe[Mês],Q$1,tbEquipe[Alocação])*Configuração!$D$14+SUM(tbRHI[%Aloc14])*Configuração!$D$15)/Configuração!$D$13)*tbRateio[[#This Row],[Custo Mensal]]</f>
        <v>61.960625361708786</v>
      </c>
      <c r="R11" s="80">
        <f>((SUMIF(tbEquipe[Mês],R$1,tbEquipe[Alocação])*Configuração!$D$14+SUM(tbRHI[%Aloc15])*Configuração!$D$15)/Configuração!$D$13)*tbRateio[[#This Row],[Custo Mensal]]</f>
        <v>61.960625361708786</v>
      </c>
      <c r="S11" s="80">
        <f>((SUMIF(tbEquipe[Mês],S$1,tbEquipe[Alocação])*Configuração!$D$14+SUM(tbRHI[%Aloc16])*Configuração!$D$15)/Configuração!$D$13)*tbRateio[[#This Row],[Custo Mensal]]</f>
        <v>0</v>
      </c>
      <c r="T11" s="80">
        <f>((SUMIF(tbEquipe[Mês],T$1,tbEquipe[Alocação])*Configuração!$D$14+SUM(tbRHI[%Aloc17])*Configuração!$D$15)/Configuração!$D$13)*tbRateio[[#This Row],[Custo Mensal]]</f>
        <v>0</v>
      </c>
      <c r="U11" s="80">
        <f>((SUMIF(tbEquipe[Mês],U$1,tbEquipe[Alocação])*Configuração!$D$14+SUM(tbRHI[%Aloc18])*Configuração!$D$15)/Configuração!$D$13)*tbRateio[[#This Row],[Custo Mensal]]</f>
        <v>0</v>
      </c>
      <c r="V11" s="80">
        <f>((SUMIF(tbEquipe[Mês],V$1,tbEquipe[Alocação])*Configuração!$D$14+SUM(tbRHI[%Aloc19])*Configuração!$D$15)/Configuração!$D$13)*tbRateio[[#This Row],[Custo Mensal]]</f>
        <v>0</v>
      </c>
      <c r="W11" s="80">
        <f>((SUMIF(tbEquipe[Mês],W$1,tbEquipe[Alocação])*Configuração!$D$14+SUM(tbRHI[%Aloc20])*Configuração!$D$15)/Configuração!$D$13)*tbRateio[[#This Row],[Custo Mensal]]</f>
        <v>0</v>
      </c>
      <c r="X11" s="80">
        <f>((SUMIF(tbEquipe[Mês],X$1,tbEquipe[Alocação])*Configuração!$D$14+SUM(tbRHI[%Aloc21])*Configuração!$D$15)/Configuração!$D$13)*tbRateio[[#This Row],[Custo Mensal]]</f>
        <v>0</v>
      </c>
      <c r="Y11" s="80">
        <f>((SUMIF(tbEquipe[Mês],Y$1,tbEquipe[Alocação])*Configuração!$D$14+SUM(tbRHI[%Aloc22])*Configuração!$D$15)/Configuração!$D$13)*tbRateio[[#This Row],[Custo Mensal]]</f>
        <v>0</v>
      </c>
      <c r="Z11" s="80">
        <f>((SUMIF(tbEquipe[Mês],Z$1,tbEquipe[Alocação])*Configuração!$D$14+SUM(tbRHI[%Aloc23])*Configuração!$D$15)/Configuração!$D$13)*tbRateio[[#This Row],[Custo Mensal]]</f>
        <v>0</v>
      </c>
    </row>
    <row r="12" spans="1:26" s="67" customFormat="1" x14ac:dyDescent="0.25">
      <c r="A12" s="67" t="s">
        <v>521</v>
      </c>
      <c r="B12" s="80">
        <v>6569.44</v>
      </c>
      <c r="C12" s="80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2923.3565721782443</v>
      </c>
      <c r="D12" s="80">
        <f>((SUMIF(tbEquipe[Mês],D$1,tbEquipe[Alocação])*Configuração!$D$14+SUM(tbRHI[%Aloc1])*Configuração!$D$15)/Configuração!$D$13)*tbRateio[[#This Row],[Custo Mensal]]</f>
        <v>239.74609717791427</v>
      </c>
      <c r="E12" s="80">
        <f>((SUMIF(tbEquipe[Mês],E$1,tbEquipe[Alocação])*Configuração!$D$14+SUM(tbRHI[%Aloc2])*Configuração!$D$15)/Configuração!$D$13)*tbRateio[[#This Row],[Custo Mensal]]</f>
        <v>240.75906651840145</v>
      </c>
      <c r="F12" s="80">
        <f>((SUMIF(tbEquipe[Mês],F$1,tbEquipe[Alocação])*Configuração!$D$14+SUM(tbRHI[%Aloc3])*Configuração!$D$15)/Configuração!$D$13)*tbRateio[[#This Row],[Custo Mensal]]</f>
        <v>240.75906651840145</v>
      </c>
      <c r="G12" s="80">
        <f>((SUMIF(tbEquipe[Mês],G$1,tbEquipe[Alocação])*Configuração!$D$14+SUM(tbRHI[%Aloc4])*Configuração!$D$15)/Configuração!$D$13)*tbRateio[[#This Row],[Custo Mensal]]</f>
        <v>240.75906651840145</v>
      </c>
      <c r="H12" s="80">
        <f>((SUMIF(tbEquipe[Mês],H$1,tbEquipe[Alocação])*Configuração!$D$14+SUM(tbRHI[%Aloc5])*Configuração!$D$15)/Configuração!$D$13)*tbRateio[[#This Row],[Custo Mensal]]</f>
        <v>240.75906651840145</v>
      </c>
      <c r="I12" s="80">
        <f>((SUMIF(tbEquipe[Mês],I$1,tbEquipe[Alocação])*Configuração!$D$14+SUM(tbRHI[%Aloc6])*Configuração!$D$15)/Configuração!$D$13)*tbRateio[[#This Row],[Custo Mensal]]</f>
        <v>240.75906651840145</v>
      </c>
      <c r="J12" s="80">
        <f>((SUMIF(tbEquipe[Mês],J$1,tbEquipe[Alocação])*Configuração!$D$14+SUM(tbRHI[%Aloc7])*Configuração!$D$15)/Configuração!$D$13)*tbRateio[[#This Row],[Custo Mensal]]</f>
        <v>240.75906651840145</v>
      </c>
      <c r="K12" s="80">
        <f>((SUMIF(tbEquipe[Mês],K$1,tbEquipe[Alocação])*Configuração!$D$14+SUM(tbRHI[%Aloc8])*Configuração!$D$15)/Configuração!$D$13)*tbRateio[[#This Row],[Custo Mensal]]</f>
        <v>240.75906651840145</v>
      </c>
      <c r="L12" s="80">
        <f>((SUMIF(tbEquipe[Mês],L$1,tbEquipe[Alocação])*Configuração!$D$14+SUM(tbRHI[%Aloc9])*Configuração!$D$15)/Configuração!$D$13)*tbRateio[[#This Row],[Custo Mensal]]</f>
        <v>240.75906651840145</v>
      </c>
      <c r="M12" s="80">
        <f>((SUMIF(tbEquipe[Mês],M$1,tbEquipe[Alocação])*Configuração!$D$14+SUM(tbRHI[%Aloc10])*Configuração!$D$15)/Configuração!$D$13)*tbRateio[[#This Row],[Custo Mensal]]</f>
        <v>240.75906651840145</v>
      </c>
      <c r="N12" s="80">
        <f>((SUMIF(tbEquipe[Mês],N$1,tbEquipe[Alocação])*Configuração!$D$14+SUM(tbRHI[%Aloc11])*Configuração!$D$15)/Configuração!$D$13)*tbRateio[[#This Row],[Custo Mensal]]</f>
        <v>240.75906651840145</v>
      </c>
      <c r="O12" s="80">
        <f>((SUMIF(tbEquipe[Mês],O$1,tbEquipe[Alocação])*Configuração!$D$14+SUM(tbRHI[%Aloc12])*Configuração!$D$15)/Configuração!$D$13)*tbRateio[[#This Row],[Custo Mensal]]</f>
        <v>240.75906651840145</v>
      </c>
      <c r="P12" s="80">
        <f>((SUMIF(tbEquipe[Mês],P$1,tbEquipe[Alocação])*Configuração!$D$14+SUM(tbRHI[%Aloc13])*Configuração!$D$15)/Configuração!$D$13)*tbRateio[[#This Row],[Custo Mensal]]</f>
        <v>11.659918542020861</v>
      </c>
      <c r="Q12" s="80">
        <f>((SUMIF(tbEquipe[Mês],Q$1,tbEquipe[Alocação])*Configuração!$D$14+SUM(tbRHI[%Aloc14])*Configuração!$D$15)/Configuração!$D$13)*tbRateio[[#This Row],[Custo Mensal]]</f>
        <v>11.800412377946371</v>
      </c>
      <c r="R12" s="80">
        <f>((SUMIF(tbEquipe[Mês],R$1,tbEquipe[Alocação])*Configuração!$D$14+SUM(tbRHI[%Aloc15])*Configuração!$D$15)/Configuração!$D$13)*tbRateio[[#This Row],[Custo Mensal]]</f>
        <v>11.800412377946371</v>
      </c>
      <c r="S12" s="80">
        <f>((SUMIF(tbEquipe[Mês],S$1,tbEquipe[Alocação])*Configuração!$D$14+SUM(tbRHI[%Aloc16])*Configuração!$D$15)/Configuração!$D$13)*tbRateio[[#This Row],[Custo Mensal]]</f>
        <v>0</v>
      </c>
      <c r="T12" s="80">
        <f>((SUMIF(tbEquipe[Mês],T$1,tbEquipe[Alocação])*Configuração!$D$14+SUM(tbRHI[%Aloc17])*Configuração!$D$15)/Configuração!$D$13)*tbRateio[[#This Row],[Custo Mensal]]</f>
        <v>0</v>
      </c>
      <c r="U12" s="80">
        <f>((SUMIF(tbEquipe[Mês],U$1,tbEquipe[Alocação])*Configuração!$D$14+SUM(tbRHI[%Aloc18])*Configuração!$D$15)/Configuração!$D$13)*tbRateio[[#This Row],[Custo Mensal]]</f>
        <v>0</v>
      </c>
      <c r="V12" s="80">
        <f>((SUMIF(tbEquipe[Mês],V$1,tbEquipe[Alocação])*Configuração!$D$14+SUM(tbRHI[%Aloc19])*Configuração!$D$15)/Configuração!$D$13)*tbRateio[[#This Row],[Custo Mensal]]</f>
        <v>0</v>
      </c>
      <c r="W12" s="80">
        <f>((SUMIF(tbEquipe[Mês],W$1,tbEquipe[Alocação])*Configuração!$D$14+SUM(tbRHI[%Aloc20])*Configuração!$D$15)/Configuração!$D$13)*tbRateio[[#This Row],[Custo Mensal]]</f>
        <v>0</v>
      </c>
      <c r="X12" s="80">
        <f>((SUMIF(tbEquipe[Mês],X$1,tbEquipe[Alocação])*Configuração!$D$14+SUM(tbRHI[%Aloc21])*Configuração!$D$15)/Configuração!$D$13)*tbRateio[[#This Row],[Custo Mensal]]</f>
        <v>0</v>
      </c>
      <c r="Y12" s="80">
        <f>((SUMIF(tbEquipe[Mês],Y$1,tbEquipe[Alocação])*Configuração!$D$14+SUM(tbRHI[%Aloc22])*Configuração!$D$15)/Configuração!$D$13)*tbRateio[[#This Row],[Custo Mensal]]</f>
        <v>0</v>
      </c>
      <c r="Z12" s="80">
        <f>((SUMIF(tbEquipe[Mês],Z$1,tbEquipe[Alocação])*Configuração!$D$14+SUM(tbRHI[%Aloc23])*Configuração!$D$15)/Configuração!$D$13)*tbRateio[[#This Row],[Custo Mensal]]</f>
        <v>0</v>
      </c>
    </row>
    <row r="13" spans="1:26" s="67" customFormat="1" ht="75" x14ac:dyDescent="0.25">
      <c r="A13" s="79" t="s">
        <v>522</v>
      </c>
      <c r="B13" s="80">
        <v>14635.75</v>
      </c>
      <c r="C13" s="80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6512.8102168918122</v>
      </c>
      <c r="D13" s="80">
        <f>((SUMIF(tbEquipe[Mês],D$1,tbEquipe[Alocação])*Configuração!$D$14+SUM(tbRHI[%Aloc1])*Configuração!$D$15)/Configuração!$D$13)*tbRateio[[#This Row],[Custo Mensal]]</f>
        <v>534.11918546659365</v>
      </c>
      <c r="E13" s="80">
        <f>((SUMIF(tbEquipe[Mês],E$1,tbEquipe[Alocação])*Configuração!$D$14+SUM(tbRHI[%Aloc2])*Configuração!$D$15)/Configuração!$D$13)*tbRateio[[#This Row],[Custo Mensal]]</f>
        <v>536.37593277306655</v>
      </c>
      <c r="F13" s="80">
        <f>((SUMIF(tbEquipe[Mês],F$1,tbEquipe[Alocação])*Configuração!$D$14+SUM(tbRHI[%Aloc3])*Configuração!$D$15)/Configuração!$D$13)*tbRateio[[#This Row],[Custo Mensal]]</f>
        <v>536.37593277306655</v>
      </c>
      <c r="G13" s="80">
        <f>((SUMIF(tbEquipe[Mês],G$1,tbEquipe[Alocação])*Configuração!$D$14+SUM(tbRHI[%Aloc4])*Configuração!$D$15)/Configuração!$D$13)*tbRateio[[#This Row],[Custo Mensal]]</f>
        <v>536.37593277306655</v>
      </c>
      <c r="H13" s="80">
        <f>((SUMIF(tbEquipe[Mês],H$1,tbEquipe[Alocação])*Configuração!$D$14+SUM(tbRHI[%Aloc5])*Configuração!$D$15)/Configuração!$D$13)*tbRateio[[#This Row],[Custo Mensal]]</f>
        <v>536.37593277306655</v>
      </c>
      <c r="I13" s="80">
        <f>((SUMIF(tbEquipe[Mês],I$1,tbEquipe[Alocação])*Configuração!$D$14+SUM(tbRHI[%Aloc6])*Configuração!$D$15)/Configuração!$D$13)*tbRateio[[#This Row],[Custo Mensal]]</f>
        <v>536.37593277306655</v>
      </c>
      <c r="J13" s="80">
        <f>((SUMIF(tbEquipe[Mês],J$1,tbEquipe[Alocação])*Configuração!$D$14+SUM(tbRHI[%Aloc7])*Configuração!$D$15)/Configuração!$D$13)*tbRateio[[#This Row],[Custo Mensal]]</f>
        <v>536.37593277306655</v>
      </c>
      <c r="K13" s="80">
        <f>((SUMIF(tbEquipe[Mês],K$1,tbEquipe[Alocação])*Configuração!$D$14+SUM(tbRHI[%Aloc8])*Configuração!$D$15)/Configuração!$D$13)*tbRateio[[#This Row],[Custo Mensal]]</f>
        <v>536.37593277306655</v>
      </c>
      <c r="L13" s="80">
        <f>((SUMIF(tbEquipe[Mês],L$1,tbEquipe[Alocação])*Configuração!$D$14+SUM(tbRHI[%Aloc9])*Configuração!$D$15)/Configuração!$D$13)*tbRateio[[#This Row],[Custo Mensal]]</f>
        <v>536.37593277306655</v>
      </c>
      <c r="M13" s="80">
        <f>((SUMIF(tbEquipe[Mês],M$1,tbEquipe[Alocação])*Configuração!$D$14+SUM(tbRHI[%Aloc10])*Configuração!$D$15)/Configuração!$D$13)*tbRateio[[#This Row],[Custo Mensal]]</f>
        <v>536.37593277306655</v>
      </c>
      <c r="N13" s="80">
        <f>((SUMIF(tbEquipe[Mês],N$1,tbEquipe[Alocação])*Configuração!$D$14+SUM(tbRHI[%Aloc11])*Configuração!$D$15)/Configuração!$D$13)*tbRateio[[#This Row],[Custo Mensal]]</f>
        <v>536.37593277306655</v>
      </c>
      <c r="O13" s="80">
        <f>((SUMIF(tbEquipe[Mês],O$1,tbEquipe[Alocação])*Configuração!$D$14+SUM(tbRHI[%Aloc12])*Configuração!$D$15)/Configuração!$D$13)*tbRateio[[#This Row],[Custo Mensal]]</f>
        <v>536.37593277306655</v>
      </c>
      <c r="P13" s="80">
        <f>((SUMIF(tbEquipe[Mês],P$1,tbEquipe[Alocação])*Configuração!$D$14+SUM(tbRHI[%Aloc13])*Configuração!$D$15)/Configuração!$D$13)*tbRateio[[#This Row],[Custo Mensal]]</f>
        <v>25.976590516296948</v>
      </c>
      <c r="Q13" s="80">
        <f>((SUMIF(tbEquipe[Mês],Q$1,tbEquipe[Alocação])*Configuração!$D$14+SUM(tbRHI[%Aloc14])*Configuração!$D$15)/Configuração!$D$13)*tbRateio[[#This Row],[Custo Mensal]]</f>
        <v>26.289590202593921</v>
      </c>
      <c r="R13" s="80">
        <f>((SUMIF(tbEquipe[Mês],R$1,tbEquipe[Alocação])*Configuração!$D$14+SUM(tbRHI[%Aloc15])*Configuração!$D$15)/Configuração!$D$13)*tbRateio[[#This Row],[Custo Mensal]]</f>
        <v>26.289590202593921</v>
      </c>
      <c r="S13" s="80">
        <f>((SUMIF(tbEquipe[Mês],S$1,tbEquipe[Alocação])*Configuração!$D$14+SUM(tbRHI[%Aloc16])*Configuração!$D$15)/Configuração!$D$13)*tbRateio[[#This Row],[Custo Mensal]]</f>
        <v>0</v>
      </c>
      <c r="T13" s="80">
        <f>((SUMIF(tbEquipe[Mês],T$1,tbEquipe[Alocação])*Configuração!$D$14+SUM(tbRHI[%Aloc17])*Configuração!$D$15)/Configuração!$D$13)*tbRateio[[#This Row],[Custo Mensal]]</f>
        <v>0</v>
      </c>
      <c r="U13" s="80">
        <f>((SUMIF(tbEquipe[Mês],U$1,tbEquipe[Alocação])*Configuração!$D$14+SUM(tbRHI[%Aloc18])*Configuração!$D$15)/Configuração!$D$13)*tbRateio[[#This Row],[Custo Mensal]]</f>
        <v>0</v>
      </c>
      <c r="V13" s="80">
        <f>((SUMIF(tbEquipe[Mês],V$1,tbEquipe[Alocação])*Configuração!$D$14+SUM(tbRHI[%Aloc19])*Configuração!$D$15)/Configuração!$D$13)*tbRateio[[#This Row],[Custo Mensal]]</f>
        <v>0</v>
      </c>
      <c r="W13" s="80">
        <f>((SUMIF(tbEquipe[Mês],W$1,tbEquipe[Alocação])*Configuração!$D$14+SUM(tbRHI[%Aloc20])*Configuração!$D$15)/Configuração!$D$13)*tbRateio[[#This Row],[Custo Mensal]]</f>
        <v>0</v>
      </c>
      <c r="X13" s="80">
        <f>((SUMIF(tbEquipe[Mês],X$1,tbEquipe[Alocação])*Configuração!$D$14+SUM(tbRHI[%Aloc21])*Configuração!$D$15)/Configuração!$D$13)*tbRateio[[#This Row],[Custo Mensal]]</f>
        <v>0</v>
      </c>
      <c r="Y13" s="80">
        <f>((SUMIF(tbEquipe[Mês],Y$1,tbEquipe[Alocação])*Configuração!$D$14+SUM(tbRHI[%Aloc22])*Configuração!$D$15)/Configuração!$D$13)*tbRateio[[#This Row],[Custo Mensal]]</f>
        <v>0</v>
      </c>
      <c r="Z13" s="80">
        <f>((SUMIF(tbEquipe[Mês],Z$1,tbEquipe[Alocação])*Configuração!$D$14+SUM(tbRHI[%Aloc23])*Configuração!$D$15)/Configuração!$D$13)*tbRateio[[#This Row],[Custo Mensal]]</f>
        <v>0</v>
      </c>
    </row>
    <row r="14" spans="1:26" x14ac:dyDescent="0.25">
      <c r="A14" t="s">
        <v>523</v>
      </c>
      <c r="C14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0</v>
      </c>
      <c r="D14" s="1">
        <f>((SUMIF(tbEquipe[Mês],D$1,tbEquipe[Alocação])*Configuração!$D$14+SUM(tbRHI[%Aloc1])*Configuração!$D$15)/Configuração!$D$13)*tbRateio[[#This Row],[Custo Mensal]]</f>
        <v>0</v>
      </c>
      <c r="E14" s="1">
        <f>((SUMIF(tbEquipe[Mês],E$1,tbEquipe[Alocação])*Configuração!$D$14+SUM(tbRHI[%Aloc2])*Configuração!$D$15)/Configuração!$D$13)*tbRateio[[#This Row],[Custo Mensal]]</f>
        <v>0</v>
      </c>
      <c r="F14" s="1">
        <f>((SUMIF(tbEquipe[Mês],F$1,tbEquipe[Alocação])*Configuração!$D$14+SUM(tbRHI[%Aloc3])*Configuração!$D$15)/Configuração!$D$13)*tbRateio[[#This Row],[Custo Mensal]]</f>
        <v>0</v>
      </c>
      <c r="G14" s="1">
        <f>((SUMIF(tbEquipe[Mês],G$1,tbEquipe[Alocação])*Configuração!$D$14+SUM(tbRHI[%Aloc4])*Configuração!$D$15)/Configuração!$D$13)*tbRateio[[#This Row],[Custo Mensal]]</f>
        <v>0</v>
      </c>
      <c r="H14" s="1">
        <f>((SUMIF(tbEquipe[Mês],H$1,tbEquipe[Alocação])*Configuração!$D$14+SUM(tbRHI[%Aloc5])*Configuração!$D$15)/Configuração!$D$13)*tbRateio[[#This Row],[Custo Mensal]]</f>
        <v>0</v>
      </c>
      <c r="I14" s="1">
        <f>((SUMIF(tbEquipe[Mês],I$1,tbEquipe[Alocação])*Configuração!$D$14+SUM(tbRHI[%Aloc6])*Configuração!$D$15)/Configuração!$D$13)*tbRateio[[#This Row],[Custo Mensal]]</f>
        <v>0</v>
      </c>
      <c r="J14" s="1">
        <f>((SUMIF(tbEquipe[Mês],J$1,tbEquipe[Alocação])*Configuração!$D$14+SUM(tbRHI[%Aloc7])*Configuração!$D$15)/Configuração!$D$13)*tbRateio[[#This Row],[Custo Mensal]]</f>
        <v>0</v>
      </c>
      <c r="K14" s="1">
        <f>((SUMIF(tbEquipe[Mês],K$1,tbEquipe[Alocação])*Configuração!$D$14+SUM(tbRHI[%Aloc8])*Configuração!$D$15)/Configuração!$D$13)*tbRateio[[#This Row],[Custo Mensal]]</f>
        <v>0</v>
      </c>
      <c r="L14" s="1">
        <f>((SUMIF(tbEquipe[Mês],L$1,tbEquipe[Alocação])*Configuração!$D$14+SUM(tbRHI[%Aloc9])*Configuração!$D$15)/Configuração!$D$13)*tbRateio[[#This Row],[Custo Mensal]]</f>
        <v>0</v>
      </c>
      <c r="M14" s="1">
        <f>((SUMIF(tbEquipe[Mês],M$1,tbEquipe[Alocação])*Configuração!$D$14+SUM(tbRHI[%Aloc10])*Configuração!$D$15)/Configuração!$D$13)*tbRateio[[#This Row],[Custo Mensal]]</f>
        <v>0</v>
      </c>
      <c r="N14" s="1">
        <f>((SUMIF(tbEquipe[Mês],N$1,tbEquipe[Alocação])*Configuração!$D$14+SUM(tbRHI[%Aloc11])*Configuração!$D$15)/Configuração!$D$13)*tbRateio[[#This Row],[Custo Mensal]]</f>
        <v>0</v>
      </c>
      <c r="O14" s="1">
        <f>((SUMIF(tbEquipe[Mês],O$1,tbEquipe[Alocação])*Configuração!$D$14+SUM(tbRHI[%Aloc12])*Configuração!$D$15)/Configuração!$D$13)*tbRateio[[#This Row],[Custo Mensal]]</f>
        <v>0</v>
      </c>
      <c r="P14" s="1">
        <f>((SUMIF(tbEquipe[Mês],P$1,tbEquipe[Alocação])*Configuração!$D$14+SUM(tbRHI[%Aloc13])*Configuração!$D$15)/Configuração!$D$13)*tbRateio[[#This Row],[Custo Mensal]]</f>
        <v>0</v>
      </c>
      <c r="Q14" s="1">
        <f>((SUMIF(tbEquipe[Mês],Q$1,tbEquipe[Alocação])*Configuração!$D$14+SUM(tbRHI[%Aloc14])*Configuração!$D$15)/Configuração!$D$13)*tbRateio[[#This Row],[Custo Mensal]]</f>
        <v>0</v>
      </c>
      <c r="R14" s="1">
        <f>((SUMIF(tbEquipe[Mês],R$1,tbEquipe[Alocação])*Configuração!$D$14+SUM(tbRHI[%Aloc15])*Configuração!$D$15)/Configuração!$D$13)*tbRateio[[#This Row],[Custo Mensal]]</f>
        <v>0</v>
      </c>
      <c r="S14" s="1">
        <f>((SUMIF(tbEquipe[Mês],S$1,tbEquipe[Alocação])*Configuração!$D$14+SUM(tbRHI[%Aloc16])*Configuração!$D$15)/Configuração!$D$13)*tbRateio[[#This Row],[Custo Mensal]]</f>
        <v>0</v>
      </c>
      <c r="T14" s="1">
        <f>((SUMIF(tbEquipe[Mês],T$1,tbEquipe[Alocação])*Configuração!$D$14+SUM(tbRHI[%Aloc17])*Configuração!$D$15)/Configuração!$D$13)*tbRateio[[#This Row],[Custo Mensal]]</f>
        <v>0</v>
      </c>
      <c r="U14" s="1">
        <f>((SUMIF(tbEquipe[Mês],U$1,tbEquipe[Alocação])*Configuração!$D$14+SUM(tbRHI[%Aloc18])*Configuração!$D$15)/Configuração!$D$13)*tbRateio[[#This Row],[Custo Mensal]]</f>
        <v>0</v>
      </c>
      <c r="V14" s="1">
        <f>((SUMIF(tbEquipe[Mês],V$1,tbEquipe[Alocação])*Configuração!$D$14+SUM(tbRHI[%Aloc19])*Configuração!$D$15)/Configuração!$D$13)*tbRateio[[#This Row],[Custo Mensal]]</f>
        <v>0</v>
      </c>
      <c r="W14" s="1">
        <f>((SUMIF(tbEquipe[Mês],W$1,tbEquipe[Alocação])*Configuração!$D$14+SUM(tbRHI[%Aloc20])*Configuração!$D$15)/Configuração!$D$13)*tbRateio[[#This Row],[Custo Mensal]]</f>
        <v>0</v>
      </c>
      <c r="X14" s="1">
        <f>((SUMIF(tbEquipe[Mês],X$1,tbEquipe[Alocação])*Configuração!$D$14+SUM(tbRHI[%Aloc21])*Configuração!$D$15)/Configuração!$D$13)*tbRateio[[#This Row],[Custo Mensal]]</f>
        <v>0</v>
      </c>
      <c r="Y14" s="1">
        <f>((SUMIF(tbEquipe[Mês],Y$1,tbEquipe[Alocação])*Configuração!$D$14+SUM(tbRHI[%Aloc22])*Configuração!$D$15)/Configuração!$D$13)*tbRateio[[#This Row],[Custo Mensal]]</f>
        <v>0</v>
      </c>
      <c r="Z14" s="1">
        <f>((SUMIF(tbEquipe[Mês],Z$1,tbEquipe[Alocação])*Configuração!$D$14+SUM(tbRHI[%Aloc23])*Configuração!$D$15)/Configuração!$D$13)*tbRateio[[#This Row],[Custo Mensal]]</f>
        <v>0</v>
      </c>
    </row>
    <row r="15" spans="1:26" x14ac:dyDescent="0.25">
      <c r="A15" t="s">
        <v>524</v>
      </c>
      <c r="C15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0</v>
      </c>
      <c r="D15" s="1">
        <f>((SUMIF(tbEquipe[Mês],D$1,tbEquipe[Alocação])*Configuração!$D$14+SUM(tbRHI[%Aloc1])*Configuração!$D$15)/Configuração!$D$13)*tbRateio[[#This Row],[Custo Mensal]]</f>
        <v>0</v>
      </c>
      <c r="E15" s="1">
        <f>((SUMIF(tbEquipe[Mês],E$1,tbEquipe[Alocação])*Configuração!$D$14+SUM(tbRHI[%Aloc2])*Configuração!$D$15)/Configuração!$D$13)*tbRateio[[#This Row],[Custo Mensal]]</f>
        <v>0</v>
      </c>
      <c r="F15" s="1">
        <f>((SUMIF(tbEquipe[Mês],F$1,tbEquipe[Alocação])*Configuração!$D$14+SUM(tbRHI[%Aloc3])*Configuração!$D$15)/Configuração!$D$13)*tbRateio[[#This Row],[Custo Mensal]]</f>
        <v>0</v>
      </c>
      <c r="G15" s="1">
        <f>((SUMIF(tbEquipe[Mês],G$1,tbEquipe[Alocação])*Configuração!$D$14+SUM(tbRHI[%Aloc4])*Configuração!$D$15)/Configuração!$D$13)*tbRateio[[#This Row],[Custo Mensal]]</f>
        <v>0</v>
      </c>
      <c r="H15" s="1">
        <f>((SUMIF(tbEquipe[Mês],H$1,tbEquipe[Alocação])*Configuração!$D$14+SUM(tbRHI[%Aloc5])*Configuração!$D$15)/Configuração!$D$13)*tbRateio[[#This Row],[Custo Mensal]]</f>
        <v>0</v>
      </c>
      <c r="I15" s="1">
        <f>((SUMIF(tbEquipe[Mês],I$1,tbEquipe[Alocação])*Configuração!$D$14+SUM(tbRHI[%Aloc6])*Configuração!$D$15)/Configuração!$D$13)*tbRateio[[#This Row],[Custo Mensal]]</f>
        <v>0</v>
      </c>
      <c r="J15" s="1">
        <f>((SUMIF(tbEquipe[Mês],J$1,tbEquipe[Alocação])*Configuração!$D$14+SUM(tbRHI[%Aloc7])*Configuração!$D$15)/Configuração!$D$13)*tbRateio[[#This Row],[Custo Mensal]]</f>
        <v>0</v>
      </c>
      <c r="K15" s="1">
        <f>((SUMIF(tbEquipe[Mês],K$1,tbEquipe[Alocação])*Configuração!$D$14+SUM(tbRHI[%Aloc8])*Configuração!$D$15)/Configuração!$D$13)*tbRateio[[#This Row],[Custo Mensal]]</f>
        <v>0</v>
      </c>
      <c r="L15" s="1">
        <f>((SUMIF(tbEquipe[Mês],L$1,tbEquipe[Alocação])*Configuração!$D$14+SUM(tbRHI[%Aloc9])*Configuração!$D$15)/Configuração!$D$13)*tbRateio[[#This Row],[Custo Mensal]]</f>
        <v>0</v>
      </c>
      <c r="M15" s="1">
        <f>((SUMIF(tbEquipe[Mês],M$1,tbEquipe[Alocação])*Configuração!$D$14+SUM(tbRHI[%Aloc10])*Configuração!$D$15)/Configuração!$D$13)*tbRateio[[#This Row],[Custo Mensal]]</f>
        <v>0</v>
      </c>
      <c r="N15" s="1">
        <f>((SUMIF(tbEquipe[Mês],N$1,tbEquipe[Alocação])*Configuração!$D$14+SUM(tbRHI[%Aloc11])*Configuração!$D$15)/Configuração!$D$13)*tbRateio[[#This Row],[Custo Mensal]]</f>
        <v>0</v>
      </c>
      <c r="O15" s="1">
        <f>((SUMIF(tbEquipe[Mês],O$1,tbEquipe[Alocação])*Configuração!$D$14+SUM(tbRHI[%Aloc12])*Configuração!$D$15)/Configuração!$D$13)*tbRateio[[#This Row],[Custo Mensal]]</f>
        <v>0</v>
      </c>
      <c r="P15" s="1">
        <f>((SUMIF(tbEquipe[Mês],P$1,tbEquipe[Alocação])*Configuração!$D$14+SUM(tbRHI[%Aloc13])*Configuração!$D$15)/Configuração!$D$13)*tbRateio[[#This Row],[Custo Mensal]]</f>
        <v>0</v>
      </c>
      <c r="Q15" s="1">
        <f>((SUMIF(tbEquipe[Mês],Q$1,tbEquipe[Alocação])*Configuração!$D$14+SUM(tbRHI[%Aloc14])*Configuração!$D$15)/Configuração!$D$13)*tbRateio[[#This Row],[Custo Mensal]]</f>
        <v>0</v>
      </c>
      <c r="R15" s="1">
        <f>((SUMIF(tbEquipe[Mês],R$1,tbEquipe[Alocação])*Configuração!$D$14+SUM(tbRHI[%Aloc15])*Configuração!$D$15)/Configuração!$D$13)*tbRateio[[#This Row],[Custo Mensal]]</f>
        <v>0</v>
      </c>
      <c r="S15" s="1">
        <f>((SUMIF(tbEquipe[Mês],S$1,tbEquipe[Alocação])*Configuração!$D$14+SUM(tbRHI[%Aloc16])*Configuração!$D$15)/Configuração!$D$13)*tbRateio[[#This Row],[Custo Mensal]]</f>
        <v>0</v>
      </c>
      <c r="T15" s="1">
        <f>((SUMIF(tbEquipe[Mês],T$1,tbEquipe[Alocação])*Configuração!$D$14+SUM(tbRHI[%Aloc17])*Configuração!$D$15)/Configuração!$D$13)*tbRateio[[#This Row],[Custo Mensal]]</f>
        <v>0</v>
      </c>
      <c r="U15" s="1">
        <f>((SUMIF(tbEquipe[Mês],U$1,tbEquipe[Alocação])*Configuração!$D$14+SUM(tbRHI[%Aloc18])*Configuração!$D$15)/Configuração!$D$13)*tbRateio[[#This Row],[Custo Mensal]]</f>
        <v>0</v>
      </c>
      <c r="V15" s="1">
        <f>((SUMIF(tbEquipe[Mês],V$1,tbEquipe[Alocação])*Configuração!$D$14+SUM(tbRHI[%Aloc19])*Configuração!$D$15)/Configuração!$D$13)*tbRateio[[#This Row],[Custo Mensal]]</f>
        <v>0</v>
      </c>
      <c r="W15" s="1">
        <f>((SUMIF(tbEquipe[Mês],W$1,tbEquipe[Alocação])*Configuração!$D$14+SUM(tbRHI[%Aloc20])*Configuração!$D$15)/Configuração!$D$13)*tbRateio[[#This Row],[Custo Mensal]]</f>
        <v>0</v>
      </c>
      <c r="X15" s="1">
        <f>((SUMIF(tbEquipe[Mês],X$1,tbEquipe[Alocação])*Configuração!$D$14+SUM(tbRHI[%Aloc21])*Configuração!$D$15)/Configuração!$D$13)*tbRateio[[#This Row],[Custo Mensal]]</f>
        <v>0</v>
      </c>
      <c r="Y15" s="1">
        <f>((SUMIF(tbEquipe[Mês],Y$1,tbEquipe[Alocação])*Configuração!$D$14+SUM(tbRHI[%Aloc22])*Configuração!$D$15)/Configuração!$D$13)*tbRateio[[#This Row],[Custo Mensal]]</f>
        <v>0</v>
      </c>
      <c r="Z15" s="1">
        <f>((SUMIF(tbEquipe[Mês],Z$1,tbEquipe[Alocação])*Configuração!$D$14+SUM(tbRHI[%Aloc23])*Configuração!$D$15)/Configuração!$D$13)*tbRateio[[#This Row],[Custo Mensal]]</f>
        <v>0</v>
      </c>
    </row>
    <row r="16" spans="1:26" x14ac:dyDescent="0.25">
      <c r="A16" t="s">
        <v>525</v>
      </c>
      <c r="C16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0</v>
      </c>
      <c r="D16" s="1">
        <f>((SUMIF(tbEquipe[Mês],D$1,tbEquipe[Alocação])*Configuração!$D$14+SUM(tbRHI[%Aloc1])*Configuração!$D$15)/Configuração!$D$13)*tbRateio[[#This Row],[Custo Mensal]]</f>
        <v>0</v>
      </c>
      <c r="E16" s="1">
        <f>((SUMIF(tbEquipe[Mês],E$1,tbEquipe[Alocação])*Configuração!$D$14+SUM(tbRHI[%Aloc2])*Configuração!$D$15)/Configuração!$D$13)*tbRateio[[#This Row],[Custo Mensal]]</f>
        <v>0</v>
      </c>
      <c r="F16" s="1">
        <f>((SUMIF(tbEquipe[Mês],F$1,tbEquipe[Alocação])*Configuração!$D$14+SUM(tbRHI[%Aloc3])*Configuração!$D$15)/Configuração!$D$13)*tbRateio[[#This Row],[Custo Mensal]]</f>
        <v>0</v>
      </c>
      <c r="G16" s="1">
        <f>((SUMIF(tbEquipe[Mês],G$1,tbEquipe[Alocação])*Configuração!$D$14+SUM(tbRHI[%Aloc4])*Configuração!$D$15)/Configuração!$D$13)*tbRateio[[#This Row],[Custo Mensal]]</f>
        <v>0</v>
      </c>
      <c r="H16" s="1">
        <f>((SUMIF(tbEquipe[Mês],H$1,tbEquipe[Alocação])*Configuração!$D$14+SUM(tbRHI[%Aloc5])*Configuração!$D$15)/Configuração!$D$13)*tbRateio[[#This Row],[Custo Mensal]]</f>
        <v>0</v>
      </c>
      <c r="I16" s="1">
        <f>((SUMIF(tbEquipe[Mês],I$1,tbEquipe[Alocação])*Configuração!$D$14+SUM(tbRHI[%Aloc6])*Configuração!$D$15)/Configuração!$D$13)*tbRateio[[#This Row],[Custo Mensal]]</f>
        <v>0</v>
      </c>
      <c r="J16" s="1">
        <f>((SUMIF(tbEquipe[Mês],J$1,tbEquipe[Alocação])*Configuração!$D$14+SUM(tbRHI[%Aloc7])*Configuração!$D$15)/Configuração!$D$13)*tbRateio[[#This Row],[Custo Mensal]]</f>
        <v>0</v>
      </c>
      <c r="K16" s="1">
        <f>((SUMIF(tbEquipe[Mês],K$1,tbEquipe[Alocação])*Configuração!$D$14+SUM(tbRHI[%Aloc8])*Configuração!$D$15)/Configuração!$D$13)*tbRateio[[#This Row],[Custo Mensal]]</f>
        <v>0</v>
      </c>
      <c r="L16" s="1">
        <f>((SUMIF(tbEquipe[Mês],L$1,tbEquipe[Alocação])*Configuração!$D$14+SUM(tbRHI[%Aloc9])*Configuração!$D$15)/Configuração!$D$13)*tbRateio[[#This Row],[Custo Mensal]]</f>
        <v>0</v>
      </c>
      <c r="M16" s="1">
        <f>((SUMIF(tbEquipe[Mês],M$1,tbEquipe[Alocação])*Configuração!$D$14+SUM(tbRHI[%Aloc10])*Configuração!$D$15)/Configuração!$D$13)*tbRateio[[#This Row],[Custo Mensal]]</f>
        <v>0</v>
      </c>
      <c r="N16" s="1">
        <f>((SUMIF(tbEquipe[Mês],N$1,tbEquipe[Alocação])*Configuração!$D$14+SUM(tbRHI[%Aloc11])*Configuração!$D$15)/Configuração!$D$13)*tbRateio[[#This Row],[Custo Mensal]]</f>
        <v>0</v>
      </c>
      <c r="O16" s="1">
        <f>((SUMIF(tbEquipe[Mês],O$1,tbEquipe[Alocação])*Configuração!$D$14+SUM(tbRHI[%Aloc12])*Configuração!$D$15)/Configuração!$D$13)*tbRateio[[#This Row],[Custo Mensal]]</f>
        <v>0</v>
      </c>
      <c r="P16" s="1">
        <f>((SUMIF(tbEquipe[Mês],P$1,tbEquipe[Alocação])*Configuração!$D$14+SUM(tbRHI[%Aloc13])*Configuração!$D$15)/Configuração!$D$13)*tbRateio[[#This Row],[Custo Mensal]]</f>
        <v>0</v>
      </c>
      <c r="Q16" s="1">
        <f>((SUMIF(tbEquipe[Mês],Q$1,tbEquipe[Alocação])*Configuração!$D$14+SUM(tbRHI[%Aloc14])*Configuração!$D$15)/Configuração!$D$13)*tbRateio[[#This Row],[Custo Mensal]]</f>
        <v>0</v>
      </c>
      <c r="R16" s="1">
        <f>((SUMIF(tbEquipe[Mês],R$1,tbEquipe[Alocação])*Configuração!$D$14+SUM(tbRHI[%Aloc15])*Configuração!$D$15)/Configuração!$D$13)*tbRateio[[#This Row],[Custo Mensal]]</f>
        <v>0</v>
      </c>
      <c r="S16" s="1">
        <f>((SUMIF(tbEquipe[Mês],S$1,tbEquipe[Alocação])*Configuração!$D$14+SUM(tbRHI[%Aloc16])*Configuração!$D$15)/Configuração!$D$13)*tbRateio[[#This Row],[Custo Mensal]]</f>
        <v>0</v>
      </c>
      <c r="T16" s="1">
        <f>((SUMIF(tbEquipe[Mês],T$1,tbEquipe[Alocação])*Configuração!$D$14+SUM(tbRHI[%Aloc17])*Configuração!$D$15)/Configuração!$D$13)*tbRateio[[#This Row],[Custo Mensal]]</f>
        <v>0</v>
      </c>
      <c r="U16" s="1">
        <f>((SUMIF(tbEquipe[Mês],U$1,tbEquipe[Alocação])*Configuração!$D$14+SUM(tbRHI[%Aloc18])*Configuração!$D$15)/Configuração!$D$13)*tbRateio[[#This Row],[Custo Mensal]]</f>
        <v>0</v>
      </c>
      <c r="V16" s="1">
        <f>((SUMIF(tbEquipe[Mês],V$1,tbEquipe[Alocação])*Configuração!$D$14+SUM(tbRHI[%Aloc19])*Configuração!$D$15)/Configuração!$D$13)*tbRateio[[#This Row],[Custo Mensal]]</f>
        <v>0</v>
      </c>
      <c r="W16" s="1">
        <f>((SUMIF(tbEquipe[Mês],W$1,tbEquipe[Alocação])*Configuração!$D$14+SUM(tbRHI[%Aloc20])*Configuração!$D$15)/Configuração!$D$13)*tbRateio[[#This Row],[Custo Mensal]]</f>
        <v>0</v>
      </c>
      <c r="X16" s="1">
        <f>((SUMIF(tbEquipe[Mês],X$1,tbEquipe[Alocação])*Configuração!$D$14+SUM(tbRHI[%Aloc21])*Configuração!$D$15)/Configuração!$D$13)*tbRateio[[#This Row],[Custo Mensal]]</f>
        <v>0</v>
      </c>
      <c r="Y16" s="1">
        <f>((SUMIF(tbEquipe[Mês],Y$1,tbEquipe[Alocação])*Configuração!$D$14+SUM(tbRHI[%Aloc22])*Configuração!$D$15)/Configuração!$D$13)*tbRateio[[#This Row],[Custo Mensal]]</f>
        <v>0</v>
      </c>
      <c r="Z16" s="1">
        <f>((SUMIF(tbEquipe[Mês],Z$1,tbEquipe[Alocação])*Configuração!$D$14+SUM(tbRHI[%Aloc23])*Configuração!$D$15)/Configuração!$D$13)*tbRateio[[#This Row],[Custo Mensal]]</f>
        <v>0</v>
      </c>
    </row>
    <row r="17" spans="1:26" x14ac:dyDescent="0.25">
      <c r="A17" t="s">
        <v>526</v>
      </c>
      <c r="C17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0</v>
      </c>
      <c r="D17" s="1">
        <f>((SUMIF(tbEquipe[Mês],D$1,tbEquipe[Alocação])*Configuração!$D$14+SUM(tbRHI[%Aloc1])*Configuração!$D$15)/Configuração!$D$13)*tbRateio[[#This Row],[Custo Mensal]]</f>
        <v>0</v>
      </c>
      <c r="E17" s="1">
        <f>((SUMIF(tbEquipe[Mês],E$1,tbEquipe[Alocação])*Configuração!$D$14+SUM(tbRHI[%Aloc2])*Configuração!$D$15)/Configuração!$D$13)*tbRateio[[#This Row],[Custo Mensal]]</f>
        <v>0</v>
      </c>
      <c r="F17" s="1">
        <f>((SUMIF(tbEquipe[Mês],F$1,tbEquipe[Alocação])*Configuração!$D$14+SUM(tbRHI[%Aloc3])*Configuração!$D$15)/Configuração!$D$13)*tbRateio[[#This Row],[Custo Mensal]]</f>
        <v>0</v>
      </c>
      <c r="G17" s="1">
        <f>((SUMIF(tbEquipe[Mês],G$1,tbEquipe[Alocação])*Configuração!$D$14+SUM(tbRHI[%Aloc4])*Configuração!$D$15)/Configuração!$D$13)*tbRateio[[#This Row],[Custo Mensal]]</f>
        <v>0</v>
      </c>
      <c r="H17" s="1">
        <f>((SUMIF(tbEquipe[Mês],H$1,tbEquipe[Alocação])*Configuração!$D$14+SUM(tbRHI[%Aloc5])*Configuração!$D$15)/Configuração!$D$13)*tbRateio[[#This Row],[Custo Mensal]]</f>
        <v>0</v>
      </c>
      <c r="I17" s="1">
        <f>((SUMIF(tbEquipe[Mês],I$1,tbEquipe[Alocação])*Configuração!$D$14+SUM(tbRHI[%Aloc6])*Configuração!$D$15)/Configuração!$D$13)*tbRateio[[#This Row],[Custo Mensal]]</f>
        <v>0</v>
      </c>
      <c r="J17" s="1">
        <f>((SUMIF(tbEquipe[Mês],J$1,tbEquipe[Alocação])*Configuração!$D$14+SUM(tbRHI[%Aloc7])*Configuração!$D$15)/Configuração!$D$13)*tbRateio[[#This Row],[Custo Mensal]]</f>
        <v>0</v>
      </c>
      <c r="K17" s="1">
        <f>((SUMIF(tbEquipe[Mês],K$1,tbEquipe[Alocação])*Configuração!$D$14+SUM(tbRHI[%Aloc8])*Configuração!$D$15)/Configuração!$D$13)*tbRateio[[#This Row],[Custo Mensal]]</f>
        <v>0</v>
      </c>
      <c r="L17" s="1">
        <f>((SUMIF(tbEquipe[Mês],L$1,tbEquipe[Alocação])*Configuração!$D$14+SUM(tbRHI[%Aloc9])*Configuração!$D$15)/Configuração!$D$13)*tbRateio[[#This Row],[Custo Mensal]]</f>
        <v>0</v>
      </c>
      <c r="M17" s="1">
        <f>((SUMIF(tbEquipe[Mês],M$1,tbEquipe[Alocação])*Configuração!$D$14+SUM(tbRHI[%Aloc10])*Configuração!$D$15)/Configuração!$D$13)*tbRateio[[#This Row],[Custo Mensal]]</f>
        <v>0</v>
      </c>
      <c r="N17" s="1">
        <f>((SUMIF(tbEquipe[Mês],N$1,tbEquipe[Alocação])*Configuração!$D$14+SUM(tbRHI[%Aloc11])*Configuração!$D$15)/Configuração!$D$13)*tbRateio[[#This Row],[Custo Mensal]]</f>
        <v>0</v>
      </c>
      <c r="O17" s="1">
        <f>((SUMIF(tbEquipe[Mês],O$1,tbEquipe[Alocação])*Configuração!$D$14+SUM(tbRHI[%Aloc12])*Configuração!$D$15)/Configuração!$D$13)*tbRateio[[#This Row],[Custo Mensal]]</f>
        <v>0</v>
      </c>
      <c r="P17" s="1">
        <f>((SUMIF(tbEquipe[Mês],P$1,tbEquipe[Alocação])*Configuração!$D$14+SUM(tbRHI[%Aloc13])*Configuração!$D$15)/Configuração!$D$13)*tbRateio[[#This Row],[Custo Mensal]]</f>
        <v>0</v>
      </c>
      <c r="Q17" s="1">
        <f>((SUMIF(tbEquipe[Mês],Q$1,tbEquipe[Alocação])*Configuração!$D$14+SUM(tbRHI[%Aloc14])*Configuração!$D$15)/Configuração!$D$13)*tbRateio[[#This Row],[Custo Mensal]]</f>
        <v>0</v>
      </c>
      <c r="R17" s="1">
        <f>((SUMIF(tbEquipe[Mês],R$1,tbEquipe[Alocação])*Configuração!$D$14+SUM(tbRHI[%Aloc15])*Configuração!$D$15)/Configuração!$D$13)*tbRateio[[#This Row],[Custo Mensal]]</f>
        <v>0</v>
      </c>
      <c r="S17" s="1">
        <f>((SUMIF(tbEquipe[Mês],S$1,tbEquipe[Alocação])*Configuração!$D$14+SUM(tbRHI[%Aloc16])*Configuração!$D$15)/Configuração!$D$13)*tbRateio[[#This Row],[Custo Mensal]]</f>
        <v>0</v>
      </c>
      <c r="T17" s="1">
        <f>((SUMIF(tbEquipe[Mês],T$1,tbEquipe[Alocação])*Configuração!$D$14+SUM(tbRHI[%Aloc17])*Configuração!$D$15)/Configuração!$D$13)*tbRateio[[#This Row],[Custo Mensal]]</f>
        <v>0</v>
      </c>
      <c r="U17" s="1">
        <f>((SUMIF(tbEquipe[Mês],U$1,tbEquipe[Alocação])*Configuração!$D$14+SUM(tbRHI[%Aloc18])*Configuração!$D$15)/Configuração!$D$13)*tbRateio[[#This Row],[Custo Mensal]]</f>
        <v>0</v>
      </c>
      <c r="V17" s="1">
        <f>((SUMIF(tbEquipe[Mês],V$1,tbEquipe[Alocação])*Configuração!$D$14+SUM(tbRHI[%Aloc19])*Configuração!$D$15)/Configuração!$D$13)*tbRateio[[#This Row],[Custo Mensal]]</f>
        <v>0</v>
      </c>
      <c r="W17" s="1">
        <f>((SUMIF(tbEquipe[Mês],W$1,tbEquipe[Alocação])*Configuração!$D$14+SUM(tbRHI[%Aloc20])*Configuração!$D$15)/Configuração!$D$13)*tbRateio[[#This Row],[Custo Mensal]]</f>
        <v>0</v>
      </c>
      <c r="X17" s="1">
        <f>((SUMIF(tbEquipe[Mês],X$1,tbEquipe[Alocação])*Configuração!$D$14+SUM(tbRHI[%Aloc21])*Configuração!$D$15)/Configuração!$D$13)*tbRateio[[#This Row],[Custo Mensal]]</f>
        <v>0</v>
      </c>
      <c r="Y17" s="1">
        <f>((SUMIF(tbEquipe[Mês],Y$1,tbEquipe[Alocação])*Configuração!$D$14+SUM(tbRHI[%Aloc22])*Configuração!$D$15)/Configuração!$D$13)*tbRateio[[#This Row],[Custo Mensal]]</f>
        <v>0</v>
      </c>
      <c r="Z17" s="1">
        <f>((SUMIF(tbEquipe[Mês],Z$1,tbEquipe[Alocação])*Configuração!$D$14+SUM(tbRHI[%Aloc23])*Configuração!$D$15)/Configuração!$D$13)*tbRateio[[#This Row],[Custo Mensal]]</f>
        <v>0</v>
      </c>
    </row>
    <row r="18" spans="1:26" x14ac:dyDescent="0.25">
      <c r="A18" t="s">
        <v>527</v>
      </c>
      <c r="C18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0</v>
      </c>
      <c r="D18" s="1">
        <f>((SUMIF(tbEquipe[Mês],D$1,tbEquipe[Alocação])*Configuração!$D$14+SUM(tbRHI[%Aloc1])*Configuração!$D$15)/Configuração!$D$13)*tbRateio[[#This Row],[Custo Mensal]]</f>
        <v>0</v>
      </c>
      <c r="E18" s="1">
        <f>((SUMIF(tbEquipe[Mês],E$1,tbEquipe[Alocação])*Configuração!$D$14+SUM(tbRHI[%Aloc2])*Configuração!$D$15)/Configuração!$D$13)*tbRateio[[#This Row],[Custo Mensal]]</f>
        <v>0</v>
      </c>
      <c r="F18" s="1">
        <f>((SUMIF(tbEquipe[Mês],F$1,tbEquipe[Alocação])*Configuração!$D$14+SUM(tbRHI[%Aloc3])*Configuração!$D$15)/Configuração!$D$13)*tbRateio[[#This Row],[Custo Mensal]]</f>
        <v>0</v>
      </c>
      <c r="G18" s="1">
        <f>((SUMIF(tbEquipe[Mês],G$1,tbEquipe[Alocação])*Configuração!$D$14+SUM(tbRHI[%Aloc4])*Configuração!$D$15)/Configuração!$D$13)*tbRateio[[#This Row],[Custo Mensal]]</f>
        <v>0</v>
      </c>
      <c r="H18" s="1">
        <f>((SUMIF(tbEquipe[Mês],H$1,tbEquipe[Alocação])*Configuração!$D$14+SUM(tbRHI[%Aloc5])*Configuração!$D$15)/Configuração!$D$13)*tbRateio[[#This Row],[Custo Mensal]]</f>
        <v>0</v>
      </c>
      <c r="I18" s="1">
        <f>((SUMIF(tbEquipe[Mês],I$1,tbEquipe[Alocação])*Configuração!$D$14+SUM(tbRHI[%Aloc6])*Configuração!$D$15)/Configuração!$D$13)*tbRateio[[#This Row],[Custo Mensal]]</f>
        <v>0</v>
      </c>
      <c r="J18" s="1">
        <f>((SUMIF(tbEquipe[Mês],J$1,tbEquipe[Alocação])*Configuração!$D$14+SUM(tbRHI[%Aloc7])*Configuração!$D$15)/Configuração!$D$13)*tbRateio[[#This Row],[Custo Mensal]]</f>
        <v>0</v>
      </c>
      <c r="K18" s="1">
        <f>((SUMIF(tbEquipe[Mês],K$1,tbEquipe[Alocação])*Configuração!$D$14+SUM(tbRHI[%Aloc8])*Configuração!$D$15)/Configuração!$D$13)*tbRateio[[#This Row],[Custo Mensal]]</f>
        <v>0</v>
      </c>
      <c r="L18" s="1">
        <f>((SUMIF(tbEquipe[Mês],L$1,tbEquipe[Alocação])*Configuração!$D$14+SUM(tbRHI[%Aloc9])*Configuração!$D$15)/Configuração!$D$13)*tbRateio[[#This Row],[Custo Mensal]]</f>
        <v>0</v>
      </c>
      <c r="M18" s="1">
        <f>((SUMIF(tbEquipe[Mês],M$1,tbEquipe[Alocação])*Configuração!$D$14+SUM(tbRHI[%Aloc10])*Configuração!$D$15)/Configuração!$D$13)*tbRateio[[#This Row],[Custo Mensal]]</f>
        <v>0</v>
      </c>
      <c r="N18" s="1">
        <f>((SUMIF(tbEquipe[Mês],N$1,tbEquipe[Alocação])*Configuração!$D$14+SUM(tbRHI[%Aloc11])*Configuração!$D$15)/Configuração!$D$13)*tbRateio[[#This Row],[Custo Mensal]]</f>
        <v>0</v>
      </c>
      <c r="O18" s="1">
        <f>((SUMIF(tbEquipe[Mês],O$1,tbEquipe[Alocação])*Configuração!$D$14+SUM(tbRHI[%Aloc12])*Configuração!$D$15)/Configuração!$D$13)*tbRateio[[#This Row],[Custo Mensal]]</f>
        <v>0</v>
      </c>
      <c r="P18" s="1">
        <f>((SUMIF(tbEquipe[Mês],P$1,tbEquipe[Alocação])*Configuração!$D$14+SUM(tbRHI[%Aloc13])*Configuração!$D$15)/Configuração!$D$13)*tbRateio[[#This Row],[Custo Mensal]]</f>
        <v>0</v>
      </c>
      <c r="Q18" s="1">
        <f>((SUMIF(tbEquipe[Mês],Q$1,tbEquipe[Alocação])*Configuração!$D$14+SUM(tbRHI[%Aloc14])*Configuração!$D$15)/Configuração!$D$13)*tbRateio[[#This Row],[Custo Mensal]]</f>
        <v>0</v>
      </c>
      <c r="R18" s="1">
        <f>((SUMIF(tbEquipe[Mês],R$1,tbEquipe[Alocação])*Configuração!$D$14+SUM(tbRHI[%Aloc15])*Configuração!$D$15)/Configuração!$D$13)*tbRateio[[#This Row],[Custo Mensal]]</f>
        <v>0</v>
      </c>
      <c r="S18" s="1">
        <f>((SUMIF(tbEquipe[Mês],S$1,tbEquipe[Alocação])*Configuração!$D$14+SUM(tbRHI[%Aloc16])*Configuração!$D$15)/Configuração!$D$13)*tbRateio[[#This Row],[Custo Mensal]]</f>
        <v>0</v>
      </c>
      <c r="T18" s="1">
        <f>((SUMIF(tbEquipe[Mês],T$1,tbEquipe[Alocação])*Configuração!$D$14+SUM(tbRHI[%Aloc17])*Configuração!$D$15)/Configuração!$D$13)*tbRateio[[#This Row],[Custo Mensal]]</f>
        <v>0</v>
      </c>
      <c r="U18" s="1">
        <f>((SUMIF(tbEquipe[Mês],U$1,tbEquipe[Alocação])*Configuração!$D$14+SUM(tbRHI[%Aloc18])*Configuração!$D$15)/Configuração!$D$13)*tbRateio[[#This Row],[Custo Mensal]]</f>
        <v>0</v>
      </c>
      <c r="V18" s="1">
        <f>((SUMIF(tbEquipe[Mês],V$1,tbEquipe[Alocação])*Configuração!$D$14+SUM(tbRHI[%Aloc19])*Configuração!$D$15)/Configuração!$D$13)*tbRateio[[#This Row],[Custo Mensal]]</f>
        <v>0</v>
      </c>
      <c r="W18" s="1">
        <f>((SUMIF(tbEquipe[Mês],W$1,tbEquipe[Alocação])*Configuração!$D$14+SUM(tbRHI[%Aloc20])*Configuração!$D$15)/Configuração!$D$13)*tbRateio[[#This Row],[Custo Mensal]]</f>
        <v>0</v>
      </c>
      <c r="X18" s="1">
        <f>((SUMIF(tbEquipe[Mês],X$1,tbEquipe[Alocação])*Configuração!$D$14+SUM(tbRHI[%Aloc21])*Configuração!$D$15)/Configuração!$D$13)*tbRateio[[#This Row],[Custo Mensal]]</f>
        <v>0</v>
      </c>
      <c r="Y18" s="1">
        <f>((SUMIF(tbEquipe[Mês],Y$1,tbEquipe[Alocação])*Configuração!$D$14+SUM(tbRHI[%Aloc22])*Configuração!$D$15)/Configuração!$D$13)*tbRateio[[#This Row],[Custo Mensal]]</f>
        <v>0</v>
      </c>
      <c r="Z18" s="1">
        <f>((SUMIF(tbEquipe[Mês],Z$1,tbEquipe[Alocação])*Configuração!$D$14+SUM(tbRHI[%Aloc23])*Configuração!$D$15)/Configuração!$D$13)*tbRateio[[#This Row],[Custo Mensal]]</f>
        <v>0</v>
      </c>
    </row>
    <row r="19" spans="1:26" x14ac:dyDescent="0.25">
      <c r="A19" t="s">
        <v>528</v>
      </c>
      <c r="B19" s="1">
        <v>1000</v>
      </c>
      <c r="C19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444.99326764202783</v>
      </c>
      <c r="D19" s="1">
        <f>((SUMIF(tbEquipe[Mês],D$1,tbEquipe[Alocação])*Configuração!$D$14+SUM(tbRHI[%Aloc1])*Configuração!$D$15)/Configuração!$D$13)*tbRateio[[#This Row],[Custo Mensal]]</f>
        <v>36.494145190140145</v>
      </c>
      <c r="E19" s="1">
        <f>((SUMIF(tbEquipe[Mês],E$1,tbEquipe[Alocação])*Configuração!$D$14+SUM(tbRHI[%Aloc2])*Configuração!$D$15)/Configuração!$D$13)*tbRateio[[#This Row],[Custo Mensal]]</f>
        <v>36.648339358971455</v>
      </c>
      <c r="F19" s="1">
        <f>((SUMIF(tbEquipe[Mês],F$1,tbEquipe[Alocação])*Configuração!$D$14+SUM(tbRHI[%Aloc3])*Configuração!$D$15)/Configuração!$D$13)*tbRateio[[#This Row],[Custo Mensal]]</f>
        <v>36.648339358971455</v>
      </c>
      <c r="G19" s="1">
        <f>((SUMIF(tbEquipe[Mês],G$1,tbEquipe[Alocação])*Configuração!$D$14+SUM(tbRHI[%Aloc4])*Configuração!$D$15)/Configuração!$D$13)*tbRateio[[#This Row],[Custo Mensal]]</f>
        <v>36.648339358971455</v>
      </c>
      <c r="H19" s="1">
        <f>((SUMIF(tbEquipe[Mês],H$1,tbEquipe[Alocação])*Configuração!$D$14+SUM(tbRHI[%Aloc5])*Configuração!$D$15)/Configuração!$D$13)*tbRateio[[#This Row],[Custo Mensal]]</f>
        <v>36.648339358971455</v>
      </c>
      <c r="I19" s="1">
        <f>((SUMIF(tbEquipe[Mês],I$1,tbEquipe[Alocação])*Configuração!$D$14+SUM(tbRHI[%Aloc6])*Configuração!$D$15)/Configuração!$D$13)*tbRateio[[#This Row],[Custo Mensal]]</f>
        <v>36.648339358971455</v>
      </c>
      <c r="J19" s="1">
        <f>((SUMIF(tbEquipe[Mês],J$1,tbEquipe[Alocação])*Configuração!$D$14+SUM(tbRHI[%Aloc7])*Configuração!$D$15)/Configuração!$D$13)*tbRateio[[#This Row],[Custo Mensal]]</f>
        <v>36.648339358971455</v>
      </c>
      <c r="K19" s="1">
        <f>((SUMIF(tbEquipe[Mês],K$1,tbEquipe[Alocação])*Configuração!$D$14+SUM(tbRHI[%Aloc8])*Configuração!$D$15)/Configuração!$D$13)*tbRateio[[#This Row],[Custo Mensal]]</f>
        <v>36.648339358971455</v>
      </c>
      <c r="L19" s="1">
        <f>((SUMIF(tbEquipe[Mês],L$1,tbEquipe[Alocação])*Configuração!$D$14+SUM(tbRHI[%Aloc9])*Configuração!$D$15)/Configuração!$D$13)*tbRateio[[#This Row],[Custo Mensal]]</f>
        <v>36.648339358971455</v>
      </c>
      <c r="M19" s="1">
        <f>((SUMIF(tbEquipe[Mês],M$1,tbEquipe[Alocação])*Configuração!$D$14+SUM(tbRHI[%Aloc10])*Configuração!$D$15)/Configuração!$D$13)*tbRateio[[#This Row],[Custo Mensal]]</f>
        <v>36.648339358971455</v>
      </c>
      <c r="N19" s="1">
        <f>((SUMIF(tbEquipe[Mês],N$1,tbEquipe[Alocação])*Configuração!$D$14+SUM(tbRHI[%Aloc11])*Configuração!$D$15)/Configuração!$D$13)*tbRateio[[#This Row],[Custo Mensal]]</f>
        <v>36.648339358971455</v>
      </c>
      <c r="O19" s="1">
        <f>((SUMIF(tbEquipe[Mês],O$1,tbEquipe[Alocação])*Configuração!$D$14+SUM(tbRHI[%Aloc12])*Configuração!$D$15)/Configuração!$D$13)*tbRateio[[#This Row],[Custo Mensal]]</f>
        <v>36.648339358971455</v>
      </c>
      <c r="P19" s="1">
        <f>((SUMIF(tbEquipe[Mês],P$1,tbEquipe[Alocação])*Configuração!$D$14+SUM(tbRHI[%Aloc13])*Configuração!$D$15)/Configuração!$D$13)*tbRateio[[#This Row],[Custo Mensal]]</f>
        <v>1.7748725221664041</v>
      </c>
      <c r="Q19" s="1">
        <f>((SUMIF(tbEquipe[Mês],Q$1,tbEquipe[Alocação])*Configuração!$D$14+SUM(tbRHI[%Aloc14])*Configuração!$D$15)/Configuração!$D$13)*tbRateio[[#This Row],[Custo Mensal]]</f>
        <v>1.7962584905176653</v>
      </c>
      <c r="R19" s="1">
        <f>((SUMIF(tbEquipe[Mês],R$1,tbEquipe[Alocação])*Configuração!$D$14+SUM(tbRHI[%Aloc15])*Configuração!$D$15)/Configuração!$D$13)*tbRateio[[#This Row],[Custo Mensal]]</f>
        <v>1.7962584905176653</v>
      </c>
      <c r="S19" s="1">
        <f>((SUMIF(tbEquipe[Mês],S$1,tbEquipe[Alocação])*Configuração!$D$14+SUM(tbRHI[%Aloc16])*Configuração!$D$15)/Configuração!$D$13)*tbRateio[[#This Row],[Custo Mensal]]</f>
        <v>0</v>
      </c>
      <c r="T19" s="1">
        <f>((SUMIF(tbEquipe[Mês],T$1,tbEquipe[Alocação])*Configuração!$D$14+SUM(tbRHI[%Aloc17])*Configuração!$D$15)/Configuração!$D$13)*tbRateio[[#This Row],[Custo Mensal]]</f>
        <v>0</v>
      </c>
      <c r="U19" s="1">
        <f>((SUMIF(tbEquipe[Mês],U$1,tbEquipe[Alocação])*Configuração!$D$14+SUM(tbRHI[%Aloc18])*Configuração!$D$15)/Configuração!$D$13)*tbRateio[[#This Row],[Custo Mensal]]</f>
        <v>0</v>
      </c>
      <c r="V19" s="1">
        <f>((SUMIF(tbEquipe[Mês],V$1,tbEquipe[Alocação])*Configuração!$D$14+SUM(tbRHI[%Aloc19])*Configuração!$D$15)/Configuração!$D$13)*tbRateio[[#This Row],[Custo Mensal]]</f>
        <v>0</v>
      </c>
      <c r="W19" s="1">
        <f>((SUMIF(tbEquipe[Mês],W$1,tbEquipe[Alocação])*Configuração!$D$14+SUM(tbRHI[%Aloc20])*Configuração!$D$15)/Configuração!$D$13)*tbRateio[[#This Row],[Custo Mensal]]</f>
        <v>0</v>
      </c>
      <c r="X19" s="1">
        <f>((SUMIF(tbEquipe[Mês],X$1,tbEquipe[Alocação])*Configuração!$D$14+SUM(tbRHI[%Aloc21])*Configuração!$D$15)/Configuração!$D$13)*tbRateio[[#This Row],[Custo Mensal]]</f>
        <v>0</v>
      </c>
      <c r="Y19" s="1">
        <f>((SUMIF(tbEquipe[Mês],Y$1,tbEquipe[Alocação])*Configuração!$D$14+SUM(tbRHI[%Aloc22])*Configuração!$D$15)/Configuração!$D$13)*tbRateio[[#This Row],[Custo Mensal]]</f>
        <v>0</v>
      </c>
      <c r="Z19" s="1">
        <f>((SUMIF(tbEquipe[Mês],Z$1,tbEquipe[Alocação])*Configuração!$D$14+SUM(tbRHI[%Aloc23])*Configuração!$D$15)/Configuração!$D$13)*tbRateio[[#This Row],[Custo Mensal]]</f>
        <v>0</v>
      </c>
    </row>
    <row r="20" spans="1:26" ht="30" x14ac:dyDescent="0.25">
      <c r="A20" s="78" t="s">
        <v>529</v>
      </c>
      <c r="B20" s="1">
        <v>400</v>
      </c>
      <c r="C20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177.99730705681114</v>
      </c>
      <c r="D20" s="1">
        <f>((SUMIF(tbEquipe[Mês],D$1,tbEquipe[Alocação])*Configuração!$D$14+SUM(tbRHI[%Aloc1])*Configuração!$D$15)/Configuração!$D$13)*tbRateio[[#This Row],[Custo Mensal]]</f>
        <v>14.597658076056058</v>
      </c>
      <c r="E20" s="1">
        <f>((SUMIF(tbEquipe[Mês],E$1,tbEquipe[Alocação])*Configuração!$D$14+SUM(tbRHI[%Aloc2])*Configuração!$D$15)/Configuração!$D$13)*tbRateio[[#This Row],[Custo Mensal]]</f>
        <v>14.659335743588583</v>
      </c>
      <c r="F20" s="1">
        <f>((SUMIF(tbEquipe[Mês],F$1,tbEquipe[Alocação])*Configuração!$D$14+SUM(tbRHI[%Aloc3])*Configuração!$D$15)/Configuração!$D$13)*tbRateio[[#This Row],[Custo Mensal]]</f>
        <v>14.659335743588583</v>
      </c>
      <c r="G20" s="1">
        <f>((SUMIF(tbEquipe[Mês],G$1,tbEquipe[Alocação])*Configuração!$D$14+SUM(tbRHI[%Aloc4])*Configuração!$D$15)/Configuração!$D$13)*tbRateio[[#This Row],[Custo Mensal]]</f>
        <v>14.659335743588583</v>
      </c>
      <c r="H20" s="1">
        <f>((SUMIF(tbEquipe[Mês],H$1,tbEquipe[Alocação])*Configuração!$D$14+SUM(tbRHI[%Aloc5])*Configuração!$D$15)/Configuração!$D$13)*tbRateio[[#This Row],[Custo Mensal]]</f>
        <v>14.659335743588583</v>
      </c>
      <c r="I20" s="1">
        <f>((SUMIF(tbEquipe[Mês],I$1,tbEquipe[Alocação])*Configuração!$D$14+SUM(tbRHI[%Aloc6])*Configuração!$D$15)/Configuração!$D$13)*tbRateio[[#This Row],[Custo Mensal]]</f>
        <v>14.659335743588583</v>
      </c>
      <c r="J20" s="1">
        <f>((SUMIF(tbEquipe[Mês],J$1,tbEquipe[Alocação])*Configuração!$D$14+SUM(tbRHI[%Aloc7])*Configuração!$D$15)/Configuração!$D$13)*tbRateio[[#This Row],[Custo Mensal]]</f>
        <v>14.659335743588583</v>
      </c>
      <c r="K20" s="1">
        <f>((SUMIF(tbEquipe[Mês],K$1,tbEquipe[Alocação])*Configuração!$D$14+SUM(tbRHI[%Aloc8])*Configuração!$D$15)/Configuração!$D$13)*tbRateio[[#This Row],[Custo Mensal]]</f>
        <v>14.659335743588583</v>
      </c>
      <c r="L20" s="1">
        <f>((SUMIF(tbEquipe[Mês],L$1,tbEquipe[Alocação])*Configuração!$D$14+SUM(tbRHI[%Aloc9])*Configuração!$D$15)/Configuração!$D$13)*tbRateio[[#This Row],[Custo Mensal]]</f>
        <v>14.659335743588583</v>
      </c>
      <c r="M20" s="1">
        <f>((SUMIF(tbEquipe[Mês],M$1,tbEquipe[Alocação])*Configuração!$D$14+SUM(tbRHI[%Aloc10])*Configuração!$D$15)/Configuração!$D$13)*tbRateio[[#This Row],[Custo Mensal]]</f>
        <v>14.659335743588583</v>
      </c>
      <c r="N20" s="1">
        <f>((SUMIF(tbEquipe[Mês],N$1,tbEquipe[Alocação])*Configuração!$D$14+SUM(tbRHI[%Aloc11])*Configuração!$D$15)/Configuração!$D$13)*tbRateio[[#This Row],[Custo Mensal]]</f>
        <v>14.659335743588583</v>
      </c>
      <c r="O20" s="1">
        <f>((SUMIF(tbEquipe[Mês],O$1,tbEquipe[Alocação])*Configuração!$D$14+SUM(tbRHI[%Aloc12])*Configuração!$D$15)/Configuração!$D$13)*tbRateio[[#This Row],[Custo Mensal]]</f>
        <v>14.659335743588583</v>
      </c>
      <c r="P20" s="1">
        <f>((SUMIF(tbEquipe[Mês],P$1,tbEquipe[Alocação])*Configuração!$D$14+SUM(tbRHI[%Aloc13])*Configuração!$D$15)/Configuração!$D$13)*tbRateio[[#This Row],[Custo Mensal]]</f>
        <v>0.70994900886656165</v>
      </c>
      <c r="Q20" s="1">
        <f>((SUMIF(tbEquipe[Mês],Q$1,tbEquipe[Alocação])*Configuração!$D$14+SUM(tbRHI[%Aloc14])*Configuração!$D$15)/Configuração!$D$13)*tbRateio[[#This Row],[Custo Mensal]]</f>
        <v>0.71850339620706616</v>
      </c>
      <c r="R20" s="1">
        <f>((SUMIF(tbEquipe[Mês],R$1,tbEquipe[Alocação])*Configuração!$D$14+SUM(tbRHI[%Aloc15])*Configuração!$D$15)/Configuração!$D$13)*tbRateio[[#This Row],[Custo Mensal]]</f>
        <v>0.71850339620706616</v>
      </c>
      <c r="S20" s="1">
        <f>((SUMIF(tbEquipe[Mês],S$1,tbEquipe[Alocação])*Configuração!$D$14+SUM(tbRHI[%Aloc16])*Configuração!$D$15)/Configuração!$D$13)*tbRateio[[#This Row],[Custo Mensal]]</f>
        <v>0</v>
      </c>
      <c r="T20" s="1">
        <f>((SUMIF(tbEquipe[Mês],T$1,tbEquipe[Alocação])*Configuração!$D$14+SUM(tbRHI[%Aloc17])*Configuração!$D$15)/Configuração!$D$13)*tbRateio[[#This Row],[Custo Mensal]]</f>
        <v>0</v>
      </c>
      <c r="U20" s="1">
        <f>((SUMIF(tbEquipe[Mês],U$1,tbEquipe[Alocação])*Configuração!$D$14+SUM(tbRHI[%Aloc18])*Configuração!$D$15)/Configuração!$D$13)*tbRateio[[#This Row],[Custo Mensal]]</f>
        <v>0</v>
      </c>
      <c r="V20" s="1">
        <f>((SUMIF(tbEquipe[Mês],V$1,tbEquipe[Alocação])*Configuração!$D$14+SUM(tbRHI[%Aloc19])*Configuração!$D$15)/Configuração!$D$13)*tbRateio[[#This Row],[Custo Mensal]]</f>
        <v>0</v>
      </c>
      <c r="W20" s="1">
        <f>((SUMIF(tbEquipe[Mês],W$1,tbEquipe[Alocação])*Configuração!$D$14+SUM(tbRHI[%Aloc20])*Configuração!$D$15)/Configuração!$D$13)*tbRateio[[#This Row],[Custo Mensal]]</f>
        <v>0</v>
      </c>
      <c r="X20" s="1">
        <f>((SUMIF(tbEquipe[Mês],X$1,tbEquipe[Alocação])*Configuração!$D$14+SUM(tbRHI[%Aloc21])*Configuração!$D$15)/Configuração!$D$13)*tbRateio[[#This Row],[Custo Mensal]]</f>
        <v>0</v>
      </c>
      <c r="Y20" s="1">
        <f>((SUMIF(tbEquipe[Mês],Y$1,tbEquipe[Alocação])*Configuração!$D$14+SUM(tbRHI[%Aloc22])*Configuração!$D$15)/Configuração!$D$13)*tbRateio[[#This Row],[Custo Mensal]]</f>
        <v>0</v>
      </c>
      <c r="Z20" s="1">
        <f>((SUMIF(tbEquipe[Mês],Z$1,tbEquipe[Alocação])*Configuração!$D$14+SUM(tbRHI[%Aloc23])*Configuração!$D$15)/Configuração!$D$13)*tbRateio[[#This Row],[Custo Mensal]]</f>
        <v>0</v>
      </c>
    </row>
    <row r="21" spans="1:26" x14ac:dyDescent="0.25">
      <c r="A21" t="s">
        <v>530</v>
      </c>
      <c r="B21" s="1">
        <v>25000</v>
      </c>
      <c r="C21" s="1">
        <f>SUM(tbRateio[[#This Row],[1]],tbRateio[[#This Row],[2]],tbRateio[[#This Row],[3]],tbRateio[[#This Row],[4]],tbRateio[[#This Row],[5]],tbRateio[[#This Row],[6]],tbRateio[[#This Row],[7]],tbRateio[[#This Row],[8]],tbRateio[[#This Row],[9]],tbRateio[[#This Row],[10]],tbRateio[[#This Row],[11]],tbRateio[[#This Row],[12]],tbRateio[[#This Row],[13]],tbRateio[[#This Row],[14]],tbRateio[[#This Row],[15]],tbRateio[[#This Row],[16]],tbRateio[[#This Row],[17]],tbRateio[[#This Row],[18]],tbRateio[[#This Row],[19]],tbRateio[[#This Row],[20]],tbRateio[[#This Row],[21]],tbRateio[[#This Row],[22]],tbRateio[[#This Row],[23]])</f>
        <v>11124.831691050695</v>
      </c>
      <c r="D21" s="1">
        <f>((SUMIF(tbEquipe[Mês],D$1,tbEquipe[Alocação])*Configuração!$D$14+SUM(tbRHI[%Aloc1])*Configuração!$D$15)/Configuração!$D$13)*tbRateio[[#This Row],[Custo Mensal]]</f>
        <v>912.35362975350358</v>
      </c>
      <c r="E21" s="1">
        <f>((SUMIF(tbEquipe[Mês],E$1,tbEquipe[Alocação])*Configuração!$D$14+SUM(tbRHI[%Aloc2])*Configuração!$D$15)/Configuração!$D$13)*tbRateio[[#This Row],[Custo Mensal]]</f>
        <v>916.20848397428642</v>
      </c>
      <c r="F21" s="1">
        <f>((SUMIF(tbEquipe[Mês],F$1,tbEquipe[Alocação])*Configuração!$D$14+SUM(tbRHI[%Aloc3])*Configuração!$D$15)/Configuração!$D$13)*tbRateio[[#This Row],[Custo Mensal]]</f>
        <v>916.20848397428642</v>
      </c>
      <c r="G21" s="1">
        <f>((SUMIF(tbEquipe[Mês],G$1,tbEquipe[Alocação])*Configuração!$D$14+SUM(tbRHI[%Aloc4])*Configuração!$D$15)/Configuração!$D$13)*tbRateio[[#This Row],[Custo Mensal]]</f>
        <v>916.20848397428642</v>
      </c>
      <c r="H21" s="1">
        <f>((SUMIF(tbEquipe[Mês],H$1,tbEquipe[Alocação])*Configuração!$D$14+SUM(tbRHI[%Aloc5])*Configuração!$D$15)/Configuração!$D$13)*tbRateio[[#This Row],[Custo Mensal]]</f>
        <v>916.20848397428642</v>
      </c>
      <c r="I21" s="1">
        <f>((SUMIF(tbEquipe[Mês],I$1,tbEquipe[Alocação])*Configuração!$D$14+SUM(tbRHI[%Aloc6])*Configuração!$D$15)/Configuração!$D$13)*tbRateio[[#This Row],[Custo Mensal]]</f>
        <v>916.20848397428642</v>
      </c>
      <c r="J21" s="1">
        <f>((SUMIF(tbEquipe[Mês],J$1,tbEquipe[Alocação])*Configuração!$D$14+SUM(tbRHI[%Aloc7])*Configuração!$D$15)/Configuração!$D$13)*tbRateio[[#This Row],[Custo Mensal]]</f>
        <v>916.20848397428642</v>
      </c>
      <c r="K21" s="1">
        <f>((SUMIF(tbEquipe[Mês],K$1,tbEquipe[Alocação])*Configuração!$D$14+SUM(tbRHI[%Aloc8])*Configuração!$D$15)/Configuração!$D$13)*tbRateio[[#This Row],[Custo Mensal]]</f>
        <v>916.20848397428642</v>
      </c>
      <c r="L21" s="1">
        <f>((SUMIF(tbEquipe[Mês],L$1,tbEquipe[Alocação])*Configuração!$D$14+SUM(tbRHI[%Aloc9])*Configuração!$D$15)/Configuração!$D$13)*tbRateio[[#This Row],[Custo Mensal]]</f>
        <v>916.20848397428642</v>
      </c>
      <c r="M21" s="1">
        <f>((SUMIF(tbEquipe[Mês],M$1,tbEquipe[Alocação])*Configuração!$D$14+SUM(tbRHI[%Aloc10])*Configuração!$D$15)/Configuração!$D$13)*tbRateio[[#This Row],[Custo Mensal]]</f>
        <v>916.20848397428642</v>
      </c>
      <c r="N21" s="1">
        <f>((SUMIF(tbEquipe[Mês],N$1,tbEquipe[Alocação])*Configuração!$D$14+SUM(tbRHI[%Aloc11])*Configuração!$D$15)/Configuração!$D$13)*tbRateio[[#This Row],[Custo Mensal]]</f>
        <v>916.20848397428642</v>
      </c>
      <c r="O21" s="1">
        <f>((SUMIF(tbEquipe[Mês],O$1,tbEquipe[Alocação])*Configuração!$D$14+SUM(tbRHI[%Aloc12])*Configuração!$D$15)/Configuração!$D$13)*tbRateio[[#This Row],[Custo Mensal]]</f>
        <v>916.20848397428642</v>
      </c>
      <c r="P21" s="1">
        <f>((SUMIF(tbEquipe[Mês],P$1,tbEquipe[Alocação])*Configuração!$D$14+SUM(tbRHI[%Aloc13])*Configuração!$D$15)/Configuração!$D$13)*tbRateio[[#This Row],[Custo Mensal]]</f>
        <v>44.3718130541601</v>
      </c>
      <c r="Q21" s="1">
        <f>((SUMIF(tbEquipe[Mês],Q$1,tbEquipe[Alocação])*Configuração!$D$14+SUM(tbRHI[%Aloc14])*Configuração!$D$15)/Configuração!$D$13)*tbRateio[[#This Row],[Custo Mensal]]</f>
        <v>44.906462262941631</v>
      </c>
      <c r="R21" s="1">
        <f>((SUMIF(tbEquipe[Mês],R$1,tbEquipe[Alocação])*Configuração!$D$14+SUM(tbRHI[%Aloc15])*Configuração!$D$15)/Configuração!$D$13)*tbRateio[[#This Row],[Custo Mensal]]</f>
        <v>44.906462262941631</v>
      </c>
      <c r="S21" s="1">
        <f>((SUMIF(tbEquipe[Mês],S$1,tbEquipe[Alocação])*Configuração!$D$14+SUM(tbRHI[%Aloc16])*Configuração!$D$15)/Configuração!$D$13)*tbRateio[[#This Row],[Custo Mensal]]</f>
        <v>0</v>
      </c>
      <c r="T21" s="1">
        <f>((SUMIF(tbEquipe[Mês],T$1,tbEquipe[Alocação])*Configuração!$D$14+SUM(tbRHI[%Aloc17])*Configuração!$D$15)/Configuração!$D$13)*tbRateio[[#This Row],[Custo Mensal]]</f>
        <v>0</v>
      </c>
      <c r="U21" s="1">
        <f>((SUMIF(tbEquipe[Mês],U$1,tbEquipe[Alocação])*Configuração!$D$14+SUM(tbRHI[%Aloc18])*Configuração!$D$15)/Configuração!$D$13)*tbRateio[[#This Row],[Custo Mensal]]</f>
        <v>0</v>
      </c>
      <c r="V21" s="1">
        <f>((SUMIF(tbEquipe[Mês],V$1,tbEquipe[Alocação])*Configuração!$D$14+SUM(tbRHI[%Aloc19])*Configuração!$D$15)/Configuração!$D$13)*tbRateio[[#This Row],[Custo Mensal]]</f>
        <v>0</v>
      </c>
      <c r="W21" s="1">
        <f>((SUMIF(tbEquipe[Mês],W$1,tbEquipe[Alocação])*Configuração!$D$14+SUM(tbRHI[%Aloc20])*Configuração!$D$15)/Configuração!$D$13)*tbRateio[[#This Row],[Custo Mensal]]</f>
        <v>0</v>
      </c>
      <c r="X21" s="1">
        <f>((SUMIF(tbEquipe[Mês],X$1,tbEquipe[Alocação])*Configuração!$D$14+SUM(tbRHI[%Aloc21])*Configuração!$D$15)/Configuração!$D$13)*tbRateio[[#This Row],[Custo Mensal]]</f>
        <v>0</v>
      </c>
      <c r="Y21" s="1">
        <f>((SUMIF(tbEquipe[Mês],Y$1,tbEquipe[Alocação])*Configuração!$D$14+SUM(tbRHI[%Aloc22])*Configuração!$D$15)/Configuração!$D$13)*tbRateio[[#This Row],[Custo Mensal]]</f>
        <v>0</v>
      </c>
      <c r="Z21" s="1">
        <f>((SUMIF(tbEquipe[Mês],Z$1,tbEquipe[Alocação])*Configuração!$D$14+SUM(tbRHI[%Aloc23])*Configuração!$D$15)/Configuração!$D$13)*tbRateio[[#This Row],[Custo Mensal]]</f>
        <v>0</v>
      </c>
    </row>
    <row r="22" spans="1:26" x14ac:dyDescent="0.25">
      <c r="B22" s="1">
        <f>SUBTOTAL(109,tbRateio[Custo Mensal])</f>
        <v>275659.45999999996</v>
      </c>
      <c r="C22" s="1">
        <f>SUBTOTAL(109,tbRateio[Custo Rateado])</f>
        <v>122666.60386183692</v>
      </c>
      <c r="D22" s="1">
        <f>SUBTOTAL(109,tbRateio[1])</f>
        <v>10059.95635627563</v>
      </c>
      <c r="E22" s="1">
        <f>SUBTOTAL(109,tbRateio[2])</f>
        <v>10102.461437590819</v>
      </c>
      <c r="F22" s="1">
        <f>SUBTOTAL(109,tbRateio[3])</f>
        <v>10102.461437590819</v>
      </c>
      <c r="G22" s="1">
        <f>SUBTOTAL(109,tbRateio[4])</f>
        <v>10102.461437590819</v>
      </c>
      <c r="H22" s="1">
        <f>SUBTOTAL(109,tbRateio[5])</f>
        <v>10102.461437590819</v>
      </c>
      <c r="I22" s="1">
        <f>SUBTOTAL(109,tbRateio[6])</f>
        <v>10102.461437590819</v>
      </c>
      <c r="J22" s="1">
        <f>SUBTOTAL(109,tbRateio[7])</f>
        <v>10102.461437590819</v>
      </c>
      <c r="K22" s="1">
        <f>SUBTOTAL(109,tbRateio[8])</f>
        <v>10102.461437590819</v>
      </c>
      <c r="L22" s="1">
        <f>SUBTOTAL(109,tbRateio[9])</f>
        <v>10102.461437590819</v>
      </c>
      <c r="M22" s="1">
        <f>SUBTOTAL(109,tbRateio[10])</f>
        <v>10102.461437590819</v>
      </c>
      <c r="N22" s="1">
        <f>SUBTOTAL(109,tbRateio[11])</f>
        <v>10102.461437590819</v>
      </c>
      <c r="O22" s="1">
        <f>SUBTOTAL(109,tbRateio[12])</f>
        <v>10102.461437590819</v>
      </c>
      <c r="P22" s="1">
        <f>SUBTOTAL(109,tbRateio[13])</f>
        <v>489.26040102922889</v>
      </c>
      <c r="Q22" s="1">
        <f>SUBTOTAL(109,tbRateio[14])</f>
        <v>495.15564551651471</v>
      </c>
      <c r="R22" s="1">
        <f>SUBTOTAL(109,tbRateio[15])</f>
        <v>495.15564551651471</v>
      </c>
      <c r="S22" s="1">
        <f>SUBTOTAL(109,tbRateio[16])</f>
        <v>0</v>
      </c>
      <c r="T22" s="1">
        <f>SUBTOTAL(109,tbRateio[17])</f>
        <v>0</v>
      </c>
      <c r="U22" s="1">
        <f>SUBTOTAL(109,tbRateio[18])</f>
        <v>0</v>
      </c>
      <c r="V22" s="1">
        <f>SUBTOTAL(109,tbRateio[19])</f>
        <v>0</v>
      </c>
      <c r="W22" s="1">
        <f>SUBTOTAL(109,tbRateio[20])</f>
        <v>0</v>
      </c>
      <c r="X22" s="1">
        <f>SUBTOTAL(109,tbRateio[21])</f>
        <v>0</v>
      </c>
      <c r="Y22" s="1">
        <f>SUBTOTAL(109,tbRateio[22])</f>
        <v>0</v>
      </c>
      <c r="Z22" s="1">
        <f>SUBTOTAL(109,tbRateio[23])</f>
        <v>0</v>
      </c>
    </row>
  </sheetData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FBA8-E55B-4607-A087-75DCD5A6CB68}">
  <dimension ref="B2:H10"/>
  <sheetViews>
    <sheetView zoomScale="125" workbookViewId="0">
      <selection activeCell="F25" sqref="F25"/>
    </sheetView>
  </sheetViews>
  <sheetFormatPr defaultColWidth="10.85546875" defaultRowHeight="15" x14ac:dyDescent="0.25"/>
  <cols>
    <col min="1" max="1" width="10.85546875" style="43"/>
    <col min="2" max="2" width="45.5703125" style="43" bestFit="1" customWidth="1"/>
    <col min="3" max="7" width="5.85546875" style="43" customWidth="1"/>
    <col min="8" max="8" width="5.85546875" style="43" hidden="1" customWidth="1"/>
    <col min="9" max="16384" width="10.85546875" style="43"/>
  </cols>
  <sheetData>
    <row r="2" spans="2:8" s="45" customFormat="1" ht="15.75" x14ac:dyDescent="0.25">
      <c r="B2" s="88" t="s">
        <v>531</v>
      </c>
      <c r="C2" s="44" t="s">
        <v>532</v>
      </c>
      <c r="D2" s="44" t="s">
        <v>533</v>
      </c>
      <c r="E2" s="44" t="s">
        <v>534</v>
      </c>
      <c r="F2" s="44" t="s">
        <v>535</v>
      </c>
      <c r="G2" s="44" t="s">
        <v>536</v>
      </c>
      <c r="H2" s="44" t="s">
        <v>537</v>
      </c>
    </row>
    <row r="3" spans="2:8" ht="15.75" x14ac:dyDescent="0.25">
      <c r="B3" s="86" t="s">
        <v>538</v>
      </c>
      <c r="C3" s="84"/>
      <c r="D3" s="84"/>
      <c r="E3" s="84"/>
      <c r="F3" s="84"/>
      <c r="G3" s="84"/>
      <c r="H3" s="84"/>
    </row>
    <row r="4" spans="2:8" ht="15.75" x14ac:dyDescent="0.25">
      <c r="B4" s="86" t="s">
        <v>539</v>
      </c>
      <c r="C4" s="84"/>
      <c r="D4" s="85"/>
      <c r="E4" s="85"/>
      <c r="F4" s="85"/>
      <c r="G4" s="85"/>
      <c r="H4" s="85"/>
    </row>
    <row r="5" spans="2:8" ht="15.75" x14ac:dyDescent="0.25">
      <c r="B5" s="85" t="s">
        <v>540</v>
      </c>
      <c r="C5" s="85"/>
      <c r="D5" s="84"/>
      <c r="E5" s="85"/>
      <c r="F5" s="85"/>
      <c r="G5" s="85"/>
      <c r="H5" s="85"/>
    </row>
    <row r="6" spans="2:8" ht="15.75" x14ac:dyDescent="0.25">
      <c r="B6" s="85" t="s">
        <v>541</v>
      </c>
      <c r="C6" s="85"/>
      <c r="D6" s="84"/>
      <c r="E6" s="84"/>
      <c r="F6" s="84"/>
      <c r="G6" s="85"/>
      <c r="H6" s="85"/>
    </row>
    <row r="7" spans="2:8" ht="15.75" x14ac:dyDescent="0.25">
      <c r="B7" s="87" t="s">
        <v>542</v>
      </c>
      <c r="C7" s="85"/>
      <c r="D7" s="84"/>
      <c r="E7" s="84"/>
      <c r="F7" s="84"/>
      <c r="G7" s="85"/>
      <c r="H7" s="85"/>
    </row>
    <row r="8" spans="2:8" ht="15.75" x14ac:dyDescent="0.25">
      <c r="B8" s="85" t="s">
        <v>543</v>
      </c>
      <c r="C8" s="85"/>
      <c r="D8" s="84"/>
      <c r="E8" s="84"/>
      <c r="F8" s="84"/>
      <c r="G8" s="85"/>
      <c r="H8" s="85"/>
    </row>
    <row r="9" spans="2:8" ht="15.75" x14ac:dyDescent="0.25">
      <c r="B9" s="86" t="s">
        <v>544</v>
      </c>
      <c r="C9" s="85"/>
      <c r="D9" s="85"/>
      <c r="E9" s="85"/>
      <c r="F9" s="84"/>
      <c r="G9" s="85"/>
      <c r="H9" s="85"/>
    </row>
    <row r="10" spans="2:8" ht="15.75" x14ac:dyDescent="0.25">
      <c r="B10" s="86" t="s">
        <v>545</v>
      </c>
      <c r="C10" s="85"/>
      <c r="D10" s="85"/>
      <c r="E10" s="85"/>
      <c r="F10" s="85"/>
      <c r="G10" s="84"/>
      <c r="H10" s="84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7AB6-6B17-4C81-ADE9-376CDC323829}">
  <sheetPr>
    <pageSetUpPr fitToPage="1"/>
  </sheetPr>
  <dimension ref="A1:R35"/>
  <sheetViews>
    <sheetView topLeftCell="F6" zoomScale="115" zoomScaleNormal="115" workbookViewId="0">
      <selection activeCell="K30" sqref="K30"/>
    </sheetView>
  </sheetViews>
  <sheetFormatPr defaultColWidth="9.140625" defaultRowHeight="15" x14ac:dyDescent="0.25"/>
  <cols>
    <col min="1" max="1" width="16.28515625" style="89" bestFit="1" customWidth="1"/>
    <col min="2" max="2" width="42.140625" style="89" bestFit="1" customWidth="1"/>
    <col min="3" max="3" width="19.85546875" style="89" bestFit="1" customWidth="1"/>
    <col min="4" max="4" width="10.140625" style="89" customWidth="1"/>
    <col min="5" max="5" width="8.85546875" style="89" bestFit="1" customWidth="1"/>
    <col min="6" max="6" width="18.7109375" style="89" customWidth="1"/>
    <col min="7" max="7" width="4.140625" style="89" customWidth="1"/>
    <col min="8" max="8" width="4.5703125" style="89" customWidth="1"/>
    <col min="9" max="9" width="41.28515625" style="89" bestFit="1" customWidth="1"/>
    <col min="10" max="10" width="20.28515625" style="89" customWidth="1"/>
    <col min="11" max="11" width="20.28515625" style="90" customWidth="1"/>
    <col min="12" max="12" width="6.28515625" style="89" bestFit="1" customWidth="1"/>
    <col min="13" max="13" width="11.28515625" style="89" customWidth="1"/>
    <col min="14" max="14" width="15.7109375" style="89" bestFit="1" customWidth="1"/>
    <col min="15" max="15" width="28" style="89" customWidth="1"/>
    <col min="16" max="16" width="20.42578125" style="89" customWidth="1"/>
    <col min="17" max="17" width="17.85546875" style="89" bestFit="1" customWidth="1"/>
    <col min="18" max="18" width="13.5703125" style="89" customWidth="1"/>
    <col min="19" max="16384" width="9.140625" style="89"/>
  </cols>
  <sheetData>
    <row r="1" spans="1:18" ht="32.25" customHeight="1" x14ac:dyDescent="0.25"/>
    <row r="2" spans="1:18" ht="32.25" customHeight="1" thickBot="1" x14ac:dyDescent="0.3"/>
    <row r="3" spans="1:18" ht="15.75" x14ac:dyDescent="0.25">
      <c r="A3" s="91" t="s">
        <v>546</v>
      </c>
      <c r="B3" s="92" t="s">
        <v>547</v>
      </c>
      <c r="K3" s="93"/>
    </row>
    <row r="4" spans="1:18" ht="15.75" x14ac:dyDescent="0.25">
      <c r="A4" s="94" t="s">
        <v>548</v>
      </c>
      <c r="B4" s="95" t="s">
        <v>549</v>
      </c>
      <c r="K4" s="93"/>
    </row>
    <row r="5" spans="1:18" ht="16.5" thickBot="1" x14ac:dyDescent="0.3">
      <c r="A5" s="96" t="s">
        <v>550</v>
      </c>
      <c r="B5" s="97" t="s">
        <v>551</v>
      </c>
      <c r="K5" s="93"/>
    </row>
    <row r="6" spans="1:18" ht="167.25" customHeight="1" thickBot="1" x14ac:dyDescent="0.3">
      <c r="A6" s="98" t="s">
        <v>552</v>
      </c>
      <c r="B6" s="99" t="s">
        <v>553</v>
      </c>
      <c r="K6" s="93"/>
    </row>
    <row r="7" spans="1:18" ht="16.5" thickBot="1" x14ac:dyDescent="0.3">
      <c r="A7" s="100" t="s">
        <v>554</v>
      </c>
      <c r="B7" s="101">
        <f>J24</f>
        <v>3798784.5275936928</v>
      </c>
      <c r="C7" s="102"/>
      <c r="K7" s="93"/>
      <c r="L7" s="103"/>
      <c r="O7" s="104"/>
      <c r="P7" s="104"/>
    </row>
    <row r="8" spans="1:18" ht="18.75" x14ac:dyDescent="0.3">
      <c r="K8" s="93"/>
      <c r="L8" s="90"/>
      <c r="O8" s="105"/>
      <c r="P8" s="106"/>
      <c r="R8" s="107"/>
    </row>
    <row r="9" spans="1:18" ht="21.75" thickBot="1" x14ac:dyDescent="0.35">
      <c r="A9" s="108"/>
      <c r="B9" s="109"/>
      <c r="C9" s="109"/>
      <c r="D9" s="109">
        <v>1.42</v>
      </c>
      <c r="E9" s="109">
        <v>5.68</v>
      </c>
      <c r="F9" s="109"/>
      <c r="G9" s="109"/>
      <c r="H9" s="109"/>
      <c r="I9" s="109"/>
      <c r="J9" s="109"/>
      <c r="K9" s="110"/>
      <c r="L9" s="111"/>
      <c r="M9" s="109"/>
      <c r="O9" s="112"/>
      <c r="P9" s="178" t="s">
        <v>555</v>
      </c>
      <c r="Q9" s="179"/>
    </row>
    <row r="10" spans="1:18" ht="16.5" thickBot="1" x14ac:dyDescent="0.3">
      <c r="A10" s="108"/>
      <c r="B10" s="113" t="s">
        <v>556</v>
      </c>
      <c r="C10" s="114" t="s">
        <v>557</v>
      </c>
      <c r="D10" s="115" t="s">
        <v>558</v>
      </c>
      <c r="E10" s="116" t="s">
        <v>559</v>
      </c>
      <c r="F10" s="115" t="s">
        <v>560</v>
      </c>
      <c r="G10" s="109"/>
      <c r="H10" s="117"/>
      <c r="I10" s="118" t="s">
        <v>6</v>
      </c>
      <c r="J10" s="119">
        <f>N10</f>
        <v>240084.80365693025</v>
      </c>
      <c r="K10" s="120">
        <f>J10/J24</f>
        <v>6.3200426850482591E-2</v>
      </c>
      <c r="L10" s="121"/>
      <c r="M10" s="122">
        <v>0.15</v>
      </c>
      <c r="N10" s="107">
        <f>P14*M10</f>
        <v>240084.80365693025</v>
      </c>
      <c r="O10" s="182" t="s">
        <v>561</v>
      </c>
      <c r="P10" s="180">
        <f>P17/3</f>
        <v>533521.78590428946</v>
      </c>
      <c r="Q10" s="177"/>
    </row>
    <row r="11" spans="1:18" ht="15.75" x14ac:dyDescent="0.25">
      <c r="A11" s="108"/>
      <c r="B11" s="123"/>
      <c r="C11" s="124"/>
      <c r="D11" s="125"/>
      <c r="E11" s="123"/>
      <c r="F11" s="126">
        <f>C11*$D$9*$E$9</f>
        <v>0</v>
      </c>
      <c r="G11" s="127"/>
      <c r="H11" s="109"/>
      <c r="I11" s="128" t="s">
        <v>7</v>
      </c>
      <c r="J11" s="129">
        <v>0</v>
      </c>
      <c r="K11" s="130">
        <f t="shared" ref="K11:K13" si="0">J11/$J$24</f>
        <v>0</v>
      </c>
      <c r="L11" s="131"/>
      <c r="M11" s="132"/>
      <c r="O11" s="183" t="s">
        <v>562</v>
      </c>
      <c r="P11" s="181">
        <f>P17/3</f>
        <v>533521.78590428946</v>
      </c>
      <c r="Q11" s="177"/>
    </row>
    <row r="12" spans="1:18" ht="15.75" x14ac:dyDescent="0.25">
      <c r="A12" s="108"/>
      <c r="B12" s="123"/>
      <c r="C12" s="124"/>
      <c r="D12" s="125"/>
      <c r="E12" s="123"/>
      <c r="F12" s="126">
        <f t="shared" ref="F12:F14" si="1">C12*$D$9*$E$9</f>
        <v>0</v>
      </c>
      <c r="G12" s="127"/>
      <c r="H12" s="117"/>
      <c r="I12" s="128" t="s">
        <v>9</v>
      </c>
      <c r="J12" s="129">
        <f>Resumo!C6</f>
        <v>847815.23481038352</v>
      </c>
      <c r="K12" s="130">
        <f>J12/J24</f>
        <v>0.22318065914294558</v>
      </c>
      <c r="L12" s="131"/>
      <c r="M12" s="132"/>
      <c r="O12" s="184" t="s">
        <v>563</v>
      </c>
      <c r="P12" s="133">
        <f>P17/3</f>
        <v>533521.78590428946</v>
      </c>
      <c r="Q12" s="133"/>
      <c r="R12" s="134">
        <v>0</v>
      </c>
    </row>
    <row r="13" spans="1:18" ht="16.5" thickBot="1" x14ac:dyDescent="0.3">
      <c r="A13" s="108"/>
      <c r="B13" s="123"/>
      <c r="C13" s="124"/>
      <c r="D13" s="125"/>
      <c r="E13" s="123"/>
      <c r="F13" s="126">
        <f t="shared" si="1"/>
        <v>0</v>
      </c>
      <c r="G13" s="127"/>
      <c r="H13" s="117"/>
      <c r="I13" s="128" t="s">
        <v>11</v>
      </c>
      <c r="J13" s="129">
        <f>J12*0.21</f>
        <v>178041.19931018053</v>
      </c>
      <c r="K13" s="130">
        <f t="shared" si="0"/>
        <v>4.6867938420018573E-2</v>
      </c>
      <c r="L13" s="131"/>
      <c r="M13" s="132"/>
      <c r="O13" s="185"/>
      <c r="P13" s="186"/>
      <c r="Q13" s="173"/>
    </row>
    <row r="14" spans="1:18" ht="16.5" thickBot="1" x14ac:dyDescent="0.3">
      <c r="A14" s="108"/>
      <c r="B14" s="123"/>
      <c r="C14" s="124"/>
      <c r="D14" s="125"/>
      <c r="E14" s="123"/>
      <c r="F14" s="126">
        <f t="shared" si="1"/>
        <v>0</v>
      </c>
      <c r="G14" s="127"/>
      <c r="H14" s="117"/>
      <c r="I14" s="128" t="s">
        <v>12</v>
      </c>
      <c r="J14" s="129">
        <f>N14</f>
        <v>640226.14308514737</v>
      </c>
      <c r="K14" s="130">
        <f>J14/J24</f>
        <v>0.16853447160128693</v>
      </c>
      <c r="L14" s="121"/>
      <c r="M14" s="122">
        <v>0.4</v>
      </c>
      <c r="N14" s="107">
        <f>P14*M14</f>
        <v>640226.14308514737</v>
      </c>
      <c r="O14" s="187" t="s">
        <v>564</v>
      </c>
      <c r="P14" s="188">
        <f>SUM((P10:P13))</f>
        <v>1600565.3577128684</v>
      </c>
      <c r="Q14" s="107"/>
    </row>
    <row r="15" spans="1:18" ht="16.5" thickBot="1" x14ac:dyDescent="0.3">
      <c r="A15" s="108"/>
      <c r="B15" s="135" t="s">
        <v>565</v>
      </c>
      <c r="C15" s="136">
        <f>SUM(C11:C14)</f>
        <v>0</v>
      </c>
      <c r="D15" s="137"/>
      <c r="E15" s="137"/>
      <c r="F15" s="138">
        <f>SUM(F11:F14)</f>
        <v>0</v>
      </c>
      <c r="G15" s="139"/>
      <c r="H15" s="117"/>
      <c r="I15" s="128" t="s">
        <v>13</v>
      </c>
      <c r="J15" s="129">
        <f>N15</f>
        <v>720254.41097079078</v>
      </c>
      <c r="K15" s="130">
        <f>J15/J24</f>
        <v>0.18960128055144779</v>
      </c>
      <c r="L15" s="121"/>
      <c r="M15" s="122">
        <v>0.45</v>
      </c>
      <c r="N15" s="107">
        <f>P14*M15</f>
        <v>720254.41097079078</v>
      </c>
      <c r="P15" s="107"/>
    </row>
    <row r="16" spans="1:18" ht="18" customHeight="1" thickBot="1" x14ac:dyDescent="0.3">
      <c r="A16" s="108"/>
      <c r="B16" s="113" t="s">
        <v>566</v>
      </c>
      <c r="C16" s="137"/>
      <c r="D16" s="137"/>
      <c r="E16" s="137"/>
      <c r="F16" s="140"/>
      <c r="G16" s="141"/>
      <c r="H16" s="109"/>
      <c r="I16" s="142" t="s">
        <v>14</v>
      </c>
      <c r="J16" s="143">
        <f>SUM(J10:J15)</f>
        <v>2626421.7918334324</v>
      </c>
      <c r="K16" s="144">
        <f>J16/$J$24</f>
        <v>0.69138477656618147</v>
      </c>
      <c r="L16" s="145"/>
      <c r="M16" s="146">
        <f>SUM(M10:M15)</f>
        <v>1</v>
      </c>
    </row>
    <row r="17" spans="1:17" ht="18" customHeight="1" thickBot="1" x14ac:dyDescent="0.3">
      <c r="A17" s="117"/>
      <c r="B17" s="135" t="s">
        <v>567</v>
      </c>
      <c r="C17" s="147"/>
      <c r="D17" s="147"/>
      <c r="E17" s="148"/>
      <c r="F17" s="149">
        <f>F15-F16</f>
        <v>0</v>
      </c>
      <c r="G17" s="150"/>
      <c r="H17" s="151"/>
      <c r="I17" s="128" t="s">
        <v>53</v>
      </c>
      <c r="J17" s="129">
        <f>Resumo!C11</f>
        <v>222666.60386183698</v>
      </c>
      <c r="K17" s="130">
        <f>J17/$J$24</f>
        <v>5.8615223433818503E-2</v>
      </c>
      <c r="L17" s="152"/>
      <c r="M17" s="122"/>
      <c r="O17" s="190" t="s">
        <v>568</v>
      </c>
      <c r="P17" s="189">
        <f>P20-P18</f>
        <v>1600565.3577128684</v>
      </c>
    </row>
    <row r="18" spans="1:17" ht="16.5" thickBot="1" x14ac:dyDescent="0.3">
      <c r="A18" s="109"/>
      <c r="B18" s="109"/>
      <c r="C18" s="109"/>
      <c r="D18" s="109"/>
      <c r="E18" s="109"/>
      <c r="F18" s="109"/>
      <c r="G18" s="109"/>
      <c r="H18" s="109"/>
      <c r="I18" s="128" t="s">
        <v>56</v>
      </c>
      <c r="J18" s="129">
        <v>0</v>
      </c>
      <c r="K18" s="130">
        <f t="shared" ref="K18:K20" si="2">J18/$J$24</f>
        <v>0</v>
      </c>
      <c r="L18" s="152"/>
      <c r="M18" s="152"/>
      <c r="O18" s="191" t="s">
        <v>594</v>
      </c>
      <c r="P18" s="256">
        <f>Equipe!I175+Equipe!I187+Equipe!I199+Equipe!I73</f>
        <v>315833.70178713161</v>
      </c>
    </row>
    <row r="19" spans="1:17" ht="16.5" thickBot="1" x14ac:dyDescent="0.3">
      <c r="A19" s="109"/>
      <c r="B19" s="113" t="s">
        <v>569</v>
      </c>
      <c r="C19" s="153" t="s">
        <v>570</v>
      </c>
      <c r="D19" s="109"/>
      <c r="E19" s="109"/>
      <c r="F19" s="139"/>
      <c r="G19" s="139"/>
      <c r="H19" s="109"/>
      <c r="I19" s="128" t="s">
        <v>58</v>
      </c>
      <c r="J19" s="129">
        <v>0</v>
      </c>
      <c r="K19" s="130">
        <f t="shared" si="2"/>
        <v>0</v>
      </c>
      <c r="L19" s="152"/>
      <c r="M19" s="152"/>
      <c r="P19" s="107"/>
    </row>
    <row r="20" spans="1:17" ht="15.75" x14ac:dyDescent="0.25">
      <c r="A20" s="117"/>
      <c r="B20" s="123"/>
      <c r="C20" s="154"/>
      <c r="D20" s="109"/>
      <c r="E20" s="109"/>
      <c r="F20" s="139"/>
      <c r="G20" s="139"/>
      <c r="H20" s="109"/>
      <c r="I20" s="128" t="s">
        <v>60</v>
      </c>
      <c r="J20" s="129">
        <v>0</v>
      </c>
      <c r="K20" s="130">
        <f t="shared" si="2"/>
        <v>0</v>
      </c>
      <c r="L20" s="152"/>
      <c r="M20" s="152"/>
      <c r="O20" s="262" t="s">
        <v>595</v>
      </c>
      <c r="P20" s="261">
        <v>1916399.0595</v>
      </c>
    </row>
    <row r="21" spans="1:17" ht="19.5" thickBot="1" x14ac:dyDescent="0.35">
      <c r="A21" s="117"/>
      <c r="B21" s="123"/>
      <c r="C21" s="154"/>
      <c r="D21" s="109"/>
      <c r="E21" s="109"/>
      <c r="F21" s="109"/>
      <c r="G21" s="109"/>
      <c r="H21" s="109"/>
      <c r="I21" s="128" t="s">
        <v>20</v>
      </c>
      <c r="J21" s="129">
        <f>K21*J24</f>
        <v>189939.22637968464</v>
      </c>
      <c r="K21" s="130">
        <v>0.05</v>
      </c>
      <c r="L21" s="152"/>
      <c r="M21" s="152"/>
      <c r="O21" s="155"/>
    </row>
    <row r="22" spans="1:17" ht="16.5" thickBot="1" x14ac:dyDescent="0.3">
      <c r="A22" s="117"/>
      <c r="B22" s="123"/>
      <c r="C22" s="154"/>
      <c r="D22" s="109"/>
      <c r="E22" s="109"/>
      <c r="F22" s="109"/>
      <c r="G22" s="109"/>
      <c r="H22" s="109"/>
      <c r="I22" s="142" t="s">
        <v>21</v>
      </c>
      <c r="J22" s="143">
        <f>J16+J17+J21</f>
        <v>3039027.6220749542</v>
      </c>
      <c r="K22" s="144">
        <f>J22/J24</f>
        <v>0.8</v>
      </c>
      <c r="L22" s="145"/>
      <c r="M22" s="145"/>
      <c r="O22" s="269" t="s">
        <v>601</v>
      </c>
      <c r="P22" s="270"/>
    </row>
    <row r="23" spans="1:17" ht="16.5" thickBot="1" x14ac:dyDescent="0.3">
      <c r="A23" s="109"/>
      <c r="B23" s="123"/>
      <c r="C23" s="154"/>
      <c r="D23" s="109"/>
      <c r="E23" s="156"/>
      <c r="F23" s="109"/>
      <c r="G23" s="109"/>
      <c r="H23" s="109"/>
      <c r="I23" s="157" t="s">
        <v>571</v>
      </c>
      <c r="J23" s="158">
        <f>J24*K23</f>
        <v>759756.90551873855</v>
      </c>
      <c r="K23" s="159">
        <v>0.2</v>
      </c>
      <c r="L23" s="160"/>
      <c r="M23" s="161"/>
      <c r="O23" s="272" t="s">
        <v>599</v>
      </c>
      <c r="P23" s="273">
        <f>Resumo!C6-Resumo!F25</f>
        <v>531981.53302325192</v>
      </c>
      <c r="Q23" s="173">
        <f>P23/$P$29</f>
        <v>0.27759434048253451</v>
      </c>
    </row>
    <row r="24" spans="1:17" ht="19.5" thickBot="1" x14ac:dyDescent="0.35">
      <c r="A24" s="109"/>
      <c r="B24" s="123"/>
      <c r="C24" s="125"/>
      <c r="D24" s="109"/>
      <c r="E24" s="109"/>
      <c r="F24" s="109"/>
      <c r="G24" s="109"/>
      <c r="H24" s="109"/>
      <c r="I24" s="162" t="s">
        <v>28</v>
      </c>
      <c r="J24" s="163">
        <f>(J16+J17)/0.75</f>
        <v>3798784.5275936928</v>
      </c>
      <c r="K24" s="164">
        <f>(J22+J23)/J24</f>
        <v>1</v>
      </c>
      <c r="L24" s="160"/>
      <c r="M24" s="160"/>
      <c r="O24" s="271" t="s">
        <v>602</v>
      </c>
      <c r="P24" s="274">
        <f>Resumo!C11-Rubrica!H7</f>
        <v>222666.60386183698</v>
      </c>
      <c r="Q24" s="173">
        <f t="shared" ref="Q24:Q25" si="3">P24/$P$29</f>
        <v>0.11619010286924897</v>
      </c>
    </row>
    <row r="25" spans="1:17" ht="16.5" thickBot="1" x14ac:dyDescent="0.3">
      <c r="A25" s="117"/>
      <c r="B25" s="113" t="s">
        <v>572</v>
      </c>
      <c r="C25" s="165">
        <f>SUM(C20:C24)</f>
        <v>0</v>
      </c>
      <c r="D25" s="109"/>
      <c r="E25" s="109"/>
      <c r="F25" s="109"/>
      <c r="G25" s="109"/>
      <c r="H25" s="109"/>
      <c r="I25" s="166"/>
      <c r="J25" s="167"/>
      <c r="K25" s="168"/>
      <c r="L25" s="109"/>
      <c r="M25" s="109"/>
      <c r="O25" s="271" t="s">
        <v>603</v>
      </c>
      <c r="P25" s="274">
        <f>Resumo!C18</f>
        <v>717496.06489257759</v>
      </c>
      <c r="Q25" s="173">
        <f t="shared" si="3"/>
        <v>0.37439804686596778</v>
      </c>
    </row>
    <row r="26" spans="1:17" ht="15.75" x14ac:dyDescent="0.25">
      <c r="H26" s="169"/>
      <c r="I26" s="170"/>
      <c r="J26" s="171"/>
      <c r="K26" s="172"/>
      <c r="O26" s="272" t="s">
        <v>28</v>
      </c>
      <c r="P26" s="275">
        <f>SUM(P23:P25)</f>
        <v>1472144.2017776663</v>
      </c>
    </row>
    <row r="27" spans="1:17" x14ac:dyDescent="0.25">
      <c r="H27" s="103"/>
      <c r="J27" s="292"/>
      <c r="K27" s="293"/>
      <c r="L27" s="292"/>
    </row>
    <row r="28" spans="1:17" x14ac:dyDescent="0.25">
      <c r="A28" s="300"/>
      <c r="K28" s="291"/>
      <c r="O28" s="89" t="s">
        <v>608</v>
      </c>
      <c r="P28" s="177">
        <v>2060644.15</v>
      </c>
    </row>
    <row r="29" spans="1:17" ht="17.25" customHeight="1" x14ac:dyDescent="0.25">
      <c r="A29" s="300"/>
      <c r="K29" s="291"/>
      <c r="P29" s="107">
        <f>P28*0.93</f>
        <v>1916399.0595</v>
      </c>
      <c r="Q29" s="287">
        <v>7.0000000000000007E-2</v>
      </c>
    </row>
    <row r="30" spans="1:17" ht="17.25" customHeight="1" x14ac:dyDescent="0.25">
      <c r="A30" s="300"/>
      <c r="K30" s="291"/>
    </row>
    <row r="31" spans="1:17" ht="17.25" customHeight="1" x14ac:dyDescent="0.25">
      <c r="A31" s="300"/>
      <c r="J31" s="294"/>
      <c r="K31" s="295"/>
      <c r="L31" s="294"/>
      <c r="O31" s="292" t="s">
        <v>600</v>
      </c>
    </row>
    <row r="32" spans="1:17" ht="17.25" customHeight="1" x14ac:dyDescent="0.25">
      <c r="A32" s="300"/>
      <c r="K32" s="291"/>
      <c r="O32" s="296" t="s">
        <v>616</v>
      </c>
      <c r="P32" s="261">
        <v>823952.59642199997</v>
      </c>
    </row>
    <row r="33" spans="1:16" ht="18" customHeight="1" x14ac:dyDescent="0.25">
      <c r="A33" s="300"/>
      <c r="O33" s="296" t="s">
        <v>617</v>
      </c>
      <c r="P33" s="261">
        <v>77147.336200000005</v>
      </c>
    </row>
    <row r="34" spans="1:16" x14ac:dyDescent="0.25">
      <c r="O34" s="296" t="s">
        <v>618</v>
      </c>
      <c r="P34" s="261">
        <v>1015382.9449156255</v>
      </c>
    </row>
    <row r="35" spans="1:16" x14ac:dyDescent="0.25">
      <c r="O35" s="296" t="s">
        <v>28</v>
      </c>
      <c r="P35" s="261">
        <f>SUM(P32:P34)</f>
        <v>1916482.8775376254</v>
      </c>
    </row>
  </sheetData>
  <mergeCells count="1">
    <mergeCell ref="A28:A33"/>
  </mergeCells>
  <pageMargins left="0.25" right="0.25" top="0.75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0A72-33C1-4A58-BB81-4505CA66F523}">
  <dimension ref="B1:K24"/>
  <sheetViews>
    <sheetView zoomScale="97" workbookViewId="0">
      <selection activeCell="I9" sqref="I9"/>
    </sheetView>
  </sheetViews>
  <sheetFormatPr defaultColWidth="9.140625" defaultRowHeight="17.25" x14ac:dyDescent="0.35"/>
  <cols>
    <col min="1" max="1" width="3.5703125" style="201" customWidth="1"/>
    <col min="2" max="2" width="9.140625" style="201"/>
    <col min="3" max="3" width="43.5703125" style="201" bestFit="1" customWidth="1"/>
    <col min="4" max="4" width="21.5703125" style="201" bestFit="1" customWidth="1"/>
    <col min="5" max="5" width="19.5703125" style="201" bestFit="1" customWidth="1"/>
    <col min="6" max="6" width="2" style="201" customWidth="1"/>
    <col min="7" max="7" width="49.42578125" style="201" customWidth="1"/>
    <col min="8" max="8" width="21.42578125" style="201" customWidth="1"/>
    <col min="9" max="9" width="24.42578125" style="201" bestFit="1" customWidth="1"/>
    <col min="10" max="16384" width="9.140625" style="201"/>
  </cols>
  <sheetData>
    <row r="1" spans="2:11" ht="18" thickBot="1" x14ac:dyDescent="0.4"/>
    <row r="2" spans="2:11" ht="20.25" thickBot="1" x14ac:dyDescent="0.4">
      <c r="B2" s="301" t="s">
        <v>574</v>
      </c>
      <c r="C2" s="302"/>
      <c r="D2" s="302"/>
      <c r="E2" s="303"/>
    </row>
    <row r="3" spans="2:11" x14ac:dyDescent="0.35">
      <c r="B3" s="304" t="s">
        <v>575</v>
      </c>
      <c r="C3" s="306" t="s">
        <v>576</v>
      </c>
      <c r="D3" s="308" t="s">
        <v>577</v>
      </c>
      <c r="E3" s="202">
        <v>2800000</v>
      </c>
    </row>
    <row r="4" spans="2:11" x14ac:dyDescent="0.35">
      <c r="B4" s="305"/>
      <c r="C4" s="307"/>
      <c r="D4" s="309"/>
      <c r="E4" s="203" t="s">
        <v>4</v>
      </c>
    </row>
    <row r="5" spans="2:11" x14ac:dyDescent="0.35">
      <c r="B5" s="204" t="s">
        <v>578</v>
      </c>
      <c r="C5" s="205" t="s">
        <v>6</v>
      </c>
      <c r="D5" s="206">
        <f>E3*E5</f>
        <v>0</v>
      </c>
      <c r="E5" s="207">
        <v>0</v>
      </c>
      <c r="G5" s="310" t="s">
        <v>579</v>
      </c>
      <c r="H5" s="310"/>
      <c r="I5" s="310"/>
    </row>
    <row r="6" spans="2:11" x14ac:dyDescent="0.35">
      <c r="B6" s="208" t="s">
        <v>580</v>
      </c>
      <c r="C6" s="209" t="s">
        <v>7</v>
      </c>
      <c r="D6" s="210">
        <f>E6*E3</f>
        <v>0</v>
      </c>
      <c r="E6" s="211"/>
      <c r="G6" s="311"/>
      <c r="H6" s="212"/>
      <c r="I6" s="212"/>
    </row>
    <row r="7" spans="2:11" x14ac:dyDescent="0.35">
      <c r="B7" s="213" t="s">
        <v>581</v>
      </c>
      <c r="C7" s="214" t="s">
        <v>9</v>
      </c>
      <c r="D7" s="215">
        <f>E7*E3</f>
        <v>700000</v>
      </c>
      <c r="E7" s="216">
        <v>0.25</v>
      </c>
      <c r="F7" s="217"/>
      <c r="G7" s="312"/>
      <c r="H7" s="218"/>
      <c r="I7" s="313"/>
      <c r="J7" s="219"/>
    </row>
    <row r="8" spans="2:11" x14ac:dyDescent="0.35">
      <c r="B8" s="220" t="s">
        <v>582</v>
      </c>
      <c r="C8" s="221" t="s">
        <v>11</v>
      </c>
      <c r="D8" s="222">
        <f>E8*E3</f>
        <v>140000</v>
      </c>
      <c r="E8" s="223">
        <v>0.05</v>
      </c>
      <c r="F8" s="217"/>
      <c r="G8" s="314" t="s">
        <v>619</v>
      </c>
      <c r="H8" s="224"/>
      <c r="I8" s="330">
        <f>$H$14*K8</f>
        <v>0</v>
      </c>
      <c r="K8" s="326"/>
    </row>
    <row r="9" spans="2:11" x14ac:dyDescent="0.35">
      <c r="B9" s="204" t="s">
        <v>583</v>
      </c>
      <c r="C9" s="225" t="s">
        <v>12</v>
      </c>
      <c r="D9" s="206">
        <f>E3*E9</f>
        <v>280000</v>
      </c>
      <c r="E9" s="207">
        <v>0.1</v>
      </c>
      <c r="F9" s="217"/>
      <c r="G9" s="314" t="s">
        <v>617</v>
      </c>
      <c r="H9" s="226">
        <v>77147.34</v>
      </c>
      <c r="I9" s="330">
        <f t="shared" ref="I9:I12" si="0">$H$14*K9</f>
        <v>191648.288</v>
      </c>
      <c r="J9" s="327">
        <f>H9/$H$14</f>
        <v>4.025464605246043E-2</v>
      </c>
      <c r="K9" s="326">
        <v>0.1</v>
      </c>
    </row>
    <row r="10" spans="2:11" x14ac:dyDescent="0.35">
      <c r="B10" s="204" t="s">
        <v>584</v>
      </c>
      <c r="C10" s="205" t="s">
        <v>13</v>
      </c>
      <c r="D10" s="206">
        <f>E10*E3</f>
        <v>560000</v>
      </c>
      <c r="E10" s="207">
        <v>0.2</v>
      </c>
      <c r="G10" s="314" t="s">
        <v>616</v>
      </c>
      <c r="H10" s="226">
        <v>823952.6</v>
      </c>
      <c r="I10" s="330">
        <f t="shared" si="0"/>
        <v>766593.152</v>
      </c>
      <c r="J10" s="327">
        <f t="shared" ref="J10:J11" si="1">H10/$H$14</f>
        <v>0.42992953842614029</v>
      </c>
      <c r="K10" s="326">
        <v>0.4</v>
      </c>
    </row>
    <row r="11" spans="2:11" x14ac:dyDescent="0.35">
      <c r="B11" s="227"/>
      <c r="C11" s="228" t="s">
        <v>585</v>
      </c>
      <c r="D11" s="229">
        <f>SUM(D5:D10)</f>
        <v>1680000</v>
      </c>
      <c r="E11" s="230">
        <f>SUM(E5:E10)</f>
        <v>0.60000000000000009</v>
      </c>
      <c r="G11" s="315" t="s">
        <v>618</v>
      </c>
      <c r="H11" s="320">
        <v>1015382.94</v>
      </c>
      <c r="I11" s="330">
        <f t="shared" si="0"/>
        <v>670769.00799999991</v>
      </c>
      <c r="J11" s="327">
        <f t="shared" si="1"/>
        <v>0.52981581552139934</v>
      </c>
      <c r="K11" s="326">
        <v>0.35</v>
      </c>
    </row>
    <row r="12" spans="2:11" x14ac:dyDescent="0.35">
      <c r="B12" s="231" t="s">
        <v>586</v>
      </c>
      <c r="C12" s="221" t="s">
        <v>53</v>
      </c>
      <c r="D12" s="222">
        <f>E12*E3</f>
        <v>420000</v>
      </c>
      <c r="E12" s="223">
        <v>0.15</v>
      </c>
      <c r="G12" s="315" t="s">
        <v>620</v>
      </c>
      <c r="H12" s="319"/>
      <c r="I12" s="332">
        <f t="shared" si="0"/>
        <v>287472.43199999997</v>
      </c>
      <c r="K12" s="329">
        <v>0.15</v>
      </c>
    </row>
    <row r="13" spans="2:11" x14ac:dyDescent="0.35">
      <c r="B13" s="232" t="s">
        <v>24</v>
      </c>
      <c r="C13" s="209" t="s">
        <v>56</v>
      </c>
      <c r="D13" s="210"/>
      <c r="E13" s="211">
        <v>0</v>
      </c>
      <c r="G13" s="316"/>
      <c r="H13" s="317"/>
      <c r="I13" s="318"/>
    </row>
    <row r="14" spans="2:11" x14ac:dyDescent="0.35">
      <c r="B14" s="232" t="s">
        <v>26</v>
      </c>
      <c r="C14" s="209" t="s">
        <v>58</v>
      </c>
      <c r="D14" s="210"/>
      <c r="E14" s="211">
        <v>0</v>
      </c>
      <c r="G14" s="324" t="s">
        <v>597</v>
      </c>
      <c r="H14" s="325">
        <f>SUM(H6:H13)</f>
        <v>1916482.88</v>
      </c>
      <c r="I14" s="331">
        <f>SUM(I8:I13)</f>
        <v>1916482.88</v>
      </c>
      <c r="K14" s="329">
        <f>SUM(K8:K13)</f>
        <v>1</v>
      </c>
    </row>
    <row r="15" spans="2:11" x14ac:dyDescent="0.35">
      <c r="B15" s="232" t="s">
        <v>587</v>
      </c>
      <c r="C15" s="209" t="s">
        <v>60</v>
      </c>
      <c r="D15" s="210"/>
      <c r="E15" s="211">
        <v>0</v>
      </c>
      <c r="G15" s="321"/>
      <c r="H15" s="328">
        <f>D11/H14</f>
        <v>0.87660579571678721</v>
      </c>
      <c r="I15" s="234"/>
    </row>
    <row r="16" spans="2:11" x14ac:dyDescent="0.35">
      <c r="B16" s="235" t="s">
        <v>588</v>
      </c>
      <c r="C16" s="236" t="s">
        <v>20</v>
      </c>
      <c r="D16" s="237">
        <f>E16*E3</f>
        <v>140000</v>
      </c>
      <c r="E16" s="238">
        <v>0.05</v>
      </c>
      <c r="G16" s="322"/>
      <c r="H16" s="323"/>
      <c r="I16" s="239"/>
    </row>
    <row r="17" spans="2:9" x14ac:dyDescent="0.35">
      <c r="B17" s="231" t="s">
        <v>589</v>
      </c>
      <c r="C17" s="240" t="s">
        <v>590</v>
      </c>
      <c r="D17" s="222">
        <f>E17*E3</f>
        <v>560000</v>
      </c>
      <c r="E17" s="241">
        <v>0.2</v>
      </c>
      <c r="G17" s="322"/>
      <c r="H17" s="323"/>
      <c r="I17" s="243"/>
    </row>
    <row r="18" spans="2:9" ht="18" thickBot="1" x14ac:dyDescent="0.4">
      <c r="B18" s="244"/>
      <c r="C18" s="245" t="s">
        <v>591</v>
      </c>
      <c r="D18" s="246">
        <f>D11+SUM(D12:D17)</f>
        <v>2800000</v>
      </c>
      <c r="E18" s="247">
        <v>1</v>
      </c>
      <c r="G18" s="322"/>
      <c r="H18" s="323"/>
      <c r="I18" s="248"/>
    </row>
    <row r="19" spans="2:9" x14ac:dyDescent="0.35">
      <c r="D19" s="249">
        <f>E3-D18</f>
        <v>0</v>
      </c>
      <c r="E19" s="250">
        <v>1</v>
      </c>
      <c r="G19" s="322"/>
      <c r="H19" s="323"/>
      <c r="I19" s="248"/>
    </row>
    <row r="20" spans="2:9" x14ac:dyDescent="0.35">
      <c r="B20" s="251"/>
      <c r="D20" s="252">
        <f>D19/E3</f>
        <v>0</v>
      </c>
      <c r="E20" s="250">
        <v>0</v>
      </c>
      <c r="H20" s="242"/>
      <c r="I20" s="253"/>
    </row>
    <row r="21" spans="2:9" x14ac:dyDescent="0.35">
      <c r="G21" s="250"/>
      <c r="H21" s="233"/>
    </row>
    <row r="22" spans="2:9" x14ac:dyDescent="0.35">
      <c r="H22" s="233"/>
    </row>
    <row r="23" spans="2:9" x14ac:dyDescent="0.35">
      <c r="G23" s="254"/>
      <c r="H23" s="233"/>
    </row>
    <row r="24" spans="2:9" x14ac:dyDescent="0.35">
      <c r="H24" s="233"/>
    </row>
  </sheetData>
  <mergeCells count="5">
    <mergeCell ref="B2:E2"/>
    <mergeCell ref="B3:B4"/>
    <mergeCell ref="C3:C4"/>
    <mergeCell ref="D3:D4"/>
    <mergeCell ref="G5:I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819408DE4764E8D06374459AE5398" ma:contentTypeVersion="15" ma:contentTypeDescription="Create a new document." ma:contentTypeScope="" ma:versionID="4f43c392ea18300baafef2abadd30a35">
  <xsd:schema xmlns:xsd="http://www.w3.org/2001/XMLSchema" xmlns:xs="http://www.w3.org/2001/XMLSchema" xmlns:p="http://schemas.microsoft.com/office/2006/metadata/properties" xmlns:ns2="b8d17cd4-4e48-4ba7-b786-639359a7b344" xmlns:ns3="668193dd-2be2-4ba2-a8dd-32cf231e115d" targetNamespace="http://schemas.microsoft.com/office/2006/metadata/properties" ma:root="true" ma:fieldsID="a5dae57afaafe53cbc3008654eea6030" ns2:_="" ns3:_="">
    <xsd:import namespace="b8d17cd4-4e48-4ba7-b786-639359a7b344"/>
    <xsd:import namespace="668193dd-2be2-4ba2-a8dd-32cf231e11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7cd4-4e48-4ba7-b786-639359a7b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76aaf33-250d-4315-a6ea-523cb979d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193dd-2be2-4ba2-a8dd-32cf231e11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efd9f1e-b1e0-419b-9d8c-a182e429ea90}" ma:internalName="TaxCatchAll" ma:showField="CatchAllData" ma:web="668193dd-2be2-4ba2-a8dd-32cf231e11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8193dd-2be2-4ba2-a8dd-32cf231e115d" xsi:nil="true"/>
    <lcf76f155ced4ddcb4097134ff3c332f xmlns="b8d17cd4-4e48-4ba7-b786-639359a7b344">
      <Terms xmlns="http://schemas.microsoft.com/office/infopath/2007/PartnerControls"/>
    </lcf76f155ced4ddcb4097134ff3c332f>
    <SharedWithUsers xmlns="668193dd-2be2-4ba2-a8dd-32cf231e115d">
      <UserInfo>
        <DisplayName>Alessandra Duarte Silva</DisplayName>
        <AccountId>13</AccountId>
        <AccountType/>
      </UserInfo>
      <UserInfo>
        <DisplayName>Arthur Drumond Parente</DisplayName>
        <AccountId>109</AccountId>
        <AccountType/>
      </UserInfo>
      <UserInfo>
        <DisplayName>Thiago Santos Rodrigues</DisplayName>
        <AccountId>29</AccountId>
        <AccountType/>
      </UserInfo>
      <UserInfo>
        <DisplayName>Almir Biase Martins Junior</DisplayName>
        <AccountId>28</AccountId>
        <AccountType/>
      </UserInfo>
      <UserInfo>
        <DisplayName>Frank Choite Ikuno</DisplayName>
        <AccountId>127</AccountId>
        <AccountType/>
      </UserInfo>
      <UserInfo>
        <DisplayName>Aristeu Jonatas Leite de Oliveira</DisplayName>
        <AccountId>110</AccountId>
        <AccountType/>
      </UserInfo>
      <UserInfo>
        <DisplayName>Ana Claudia Brasil Lopes</DisplayName>
        <AccountId>18</AccountId>
        <AccountType/>
      </UserInfo>
      <UserInfo>
        <DisplayName>Jorge Atila Damasceno Maia</DisplayName>
        <AccountId>250</AccountId>
        <AccountType/>
      </UserInfo>
      <UserInfo>
        <DisplayName>Paulo Sobral Mayan</DisplayName>
        <AccountId>108</AccountId>
        <AccountType/>
      </UserInfo>
      <UserInfo>
        <DisplayName>Renato de Oliveira Guerreiro</DisplayName>
        <AccountId>111</AccountId>
        <AccountType/>
      </UserInfo>
      <UserInfo>
        <DisplayName>Lirian Correa da Silva</DisplayName>
        <AccountId>16</AccountId>
        <AccountType/>
      </UserInfo>
      <UserInfo>
        <DisplayName>Newton Pinheiro Bitar</DisplayName>
        <AccountId>284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804FDCE-D8AB-43A1-A899-81E05B308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d17cd4-4e48-4ba7-b786-639359a7b344"/>
    <ds:schemaRef ds:uri="668193dd-2be2-4ba2-a8dd-32cf231e11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5583B8-ED4B-49AC-BA14-C9BD5A449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532189-0A92-465D-BA86-007BD1776409}">
  <ds:schemaRefs>
    <ds:schemaRef ds:uri="http://schemas.microsoft.com/office/2006/documentManagement/types"/>
    <ds:schemaRef ds:uri="http://purl.org/dc/elements/1.1/"/>
    <ds:schemaRef ds:uri="668193dd-2be2-4ba2-a8dd-32cf231e115d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8d17cd4-4e48-4ba7-b786-639359a7b3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Resumo</vt:lpstr>
      <vt:lpstr>Configuração</vt:lpstr>
      <vt:lpstr>DBFolha</vt:lpstr>
      <vt:lpstr>Equipe</vt:lpstr>
      <vt:lpstr>Rubrica</vt:lpstr>
      <vt:lpstr>RHI</vt:lpstr>
      <vt:lpstr>Rateio</vt:lpstr>
      <vt:lpstr>Cronograma  </vt:lpstr>
      <vt:lpstr>SERVICO</vt:lpstr>
      <vt:lpstr>Etiqueta</vt:lpstr>
      <vt:lpstr>SERVICO!Area_de_impressao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Drumond Parente</dc:creator>
  <cp:keywords/>
  <dc:description/>
  <cp:lastModifiedBy>Frank Choite Ikuno</cp:lastModifiedBy>
  <cp:revision/>
  <dcterms:created xsi:type="dcterms:W3CDTF">2022-04-26T21:18:02Z</dcterms:created>
  <dcterms:modified xsi:type="dcterms:W3CDTF">2024-12-02T15:44:08Z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0x010100CDF819408DE4764E8D06374459AE5398</vt:lpwstr>
  </property>
  <property fmtid="{D5CDD505-2E9C-101B-9397-08002B2CF9AE}" pid="3" name="MediaServiceImageTags">
    <vt:lpwstr/>
  </property>
</Properties>
</file>